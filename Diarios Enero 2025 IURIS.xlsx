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877" firstSheet="39" activeTab="40"/>
  </bookViews>
  <sheets>
    <sheet name="380160100" sheetId="1" r:id="rId1"/>
    <sheet name="393392890" sheetId="2" r:id="rId2"/>
    <sheet name="396845300" sheetId="3" r:id="rId3"/>
    <sheet name="398981183" sheetId="4" r:id="rId4"/>
    <sheet name="406538826" sheetId="5" r:id="rId5"/>
    <sheet name="369373302" sheetId="6" r:id="rId6"/>
    <sheet name="371450988" sheetId="7" r:id="rId7"/>
    <sheet name="371480548" sheetId="8" r:id="rId8"/>
    <sheet name="371484651" sheetId="9" r:id="rId9"/>
    <sheet name="374479114" sheetId="10" r:id="rId10"/>
    <sheet name="374479207" sheetId="11" r:id="rId11"/>
    <sheet name="374479311" sheetId="12" r:id="rId12"/>
    <sheet name="377505670" sheetId="13" r:id="rId13"/>
    <sheet name="379260931" sheetId="14" r:id="rId14"/>
    <sheet name="380966161" sheetId="16" r:id="rId15"/>
    <sheet name="384845796" sheetId="17" r:id="rId16"/>
    <sheet name="384856368" sheetId="20" r:id="rId17"/>
    <sheet name="384866882" sheetId="21" r:id="rId18"/>
    <sheet name="385295801" sheetId="22" r:id="rId19"/>
    <sheet name="385295937" sheetId="23" r:id="rId20"/>
    <sheet name="385296047" sheetId="24" r:id="rId21"/>
    <sheet name="385305789" sheetId="26" r:id="rId22"/>
    <sheet name="385328612" sheetId="27" r:id="rId23"/>
    <sheet name="385371421" sheetId="29" r:id="rId24"/>
    <sheet name="385403673" sheetId="31" r:id="rId25"/>
    <sheet name="387650322" sheetId="32" r:id="rId26"/>
    <sheet name="387656113" sheetId="33" r:id="rId27"/>
    <sheet name="387656465" sheetId="34" r:id="rId28"/>
    <sheet name="387656631" sheetId="35" r:id="rId29"/>
    <sheet name="387656788" sheetId="36" r:id="rId30"/>
    <sheet name="387658763" sheetId="37" r:id="rId31"/>
    <sheet name="388738036" sheetId="38" r:id="rId32"/>
    <sheet name="388738104" sheetId="39" r:id="rId33"/>
    <sheet name="388745453" sheetId="40" r:id="rId34"/>
    <sheet name="405593823_405760077" sheetId="41" r:id="rId35"/>
    <sheet name="406695777" sheetId="43" r:id="rId36"/>
    <sheet name="406704413" sheetId="44" r:id="rId37"/>
    <sheet name="406718046" sheetId="45" r:id="rId38"/>
    <sheet name="406728342" sheetId="46" r:id="rId39"/>
    <sheet name="406760039" sheetId="47" r:id="rId40"/>
    <sheet name="410737135" sheetId="48" r:id="rId41"/>
    <sheet name="Diario-1-030125" sheetId="15" r:id="rId42"/>
    <sheet name="Diario-2-140125" sheetId="18" r:id="rId43"/>
    <sheet name="Diario-3-140125" sheetId="19" r:id="rId44"/>
    <sheet name="Diario-4-140125" sheetId="25" r:id="rId45"/>
    <sheet name="Diario-5-140125" sheetId="28" r:id="rId46"/>
    <sheet name="Diario-6-140125" sheetId="30" r:id="rId47"/>
    <sheet name="Diario-7-290125" sheetId="42" r:id="rId48"/>
    <sheet name="Diario-8-290125" sheetId="51" r:id="rId49"/>
    <sheet name="contabilizacion enero 2025" sheetId="50" r:id="rId50"/>
  </sheets>
  <definedNames>
    <definedName name="_xlnm.Print_Area" localSheetId="5">'369373302'!$A$1:$P$52</definedName>
    <definedName name="_xlnm.Print_Area" localSheetId="6">'371450988'!$A$1:$P$52</definedName>
    <definedName name="_xlnm.Print_Area" localSheetId="7">'371480548'!$A$1:$P$52</definedName>
    <definedName name="_xlnm.Print_Area" localSheetId="8">'371484651'!$A$1:$P$52</definedName>
    <definedName name="_xlnm.Print_Area" localSheetId="9">'374479114'!$A$1:$P$52</definedName>
    <definedName name="_xlnm.Print_Area" localSheetId="10">'374479207'!$A$1:$P$52</definedName>
    <definedName name="_xlnm.Print_Area" localSheetId="11">'374479311'!$A$1:$P$52</definedName>
    <definedName name="_xlnm.Print_Area" localSheetId="12">'377505670'!$A$1:$P$52</definedName>
    <definedName name="_xlnm.Print_Area" localSheetId="13">'379260931'!$A$1:$P$52</definedName>
    <definedName name="_xlnm.Print_Area" localSheetId="0">'380160100'!$A$1:$P$52</definedName>
    <definedName name="_xlnm.Print_Area" localSheetId="14">'380966161'!$A$1:$P$52</definedName>
    <definedName name="_xlnm.Print_Area" localSheetId="15">'384845796'!$A$1:$P$52</definedName>
    <definedName name="_xlnm.Print_Area" localSheetId="16">'384856368'!$A$1:$P$52</definedName>
    <definedName name="_xlnm.Print_Area" localSheetId="17">'384866882'!$A$1:$P$52</definedName>
    <definedName name="_xlnm.Print_Area" localSheetId="18">'385295801'!$A$1:$P$52</definedName>
    <definedName name="_xlnm.Print_Area" localSheetId="19">'385295937'!$A$1:$P$52</definedName>
    <definedName name="_xlnm.Print_Area" localSheetId="20">'385296047'!$A$1:$P$52</definedName>
    <definedName name="_xlnm.Print_Area" localSheetId="21">'385305789'!$A$1:$P$52</definedName>
    <definedName name="_xlnm.Print_Area" localSheetId="22">'385328612'!$A$1:$P$52</definedName>
    <definedName name="_xlnm.Print_Area" localSheetId="23">'385371421'!$A$1:$P$52</definedName>
    <definedName name="_xlnm.Print_Area" localSheetId="24">'385403673'!$A$1:$P$52</definedName>
    <definedName name="_xlnm.Print_Area" localSheetId="25">'387650322'!$A$1:$P$51</definedName>
    <definedName name="_xlnm.Print_Area" localSheetId="26">'387656113'!$A$1:$P$51</definedName>
    <definedName name="_xlnm.Print_Area" localSheetId="27">'387656465'!$A$1:$P$51</definedName>
    <definedName name="_xlnm.Print_Area" localSheetId="28">'387656631'!$A$1:$P$51</definedName>
    <definedName name="_xlnm.Print_Area" localSheetId="29">'387656788'!$A$1:$P$51</definedName>
    <definedName name="_xlnm.Print_Area" localSheetId="30">'387658763'!$A$1:$P$51</definedName>
    <definedName name="_xlnm.Print_Area" localSheetId="31">'388738036'!$A$1:$P$51</definedName>
    <definedName name="_xlnm.Print_Area" localSheetId="32">'388738104'!$A$1:$P$51</definedName>
    <definedName name="_xlnm.Print_Area" localSheetId="33">'388745453'!$A$1:$P$51</definedName>
    <definedName name="_xlnm.Print_Area" localSheetId="1">'393392890'!$A$1:$P$52</definedName>
    <definedName name="_xlnm.Print_Area" localSheetId="2">'396845300'!$A$1:$P$52</definedName>
    <definedName name="_xlnm.Print_Area" localSheetId="3">'398981183'!$A$1:$P$52</definedName>
    <definedName name="_xlnm.Print_Area" localSheetId="34">'405593823_405760077'!$A$1:$P$51</definedName>
    <definedName name="_xlnm.Print_Area" localSheetId="4">'406538826'!$A$1:$P$52</definedName>
    <definedName name="_xlnm.Print_Area" localSheetId="35">'406695777'!$A$1:$P$52</definedName>
    <definedName name="_xlnm.Print_Area" localSheetId="36">'406704413'!$A$1:$P$51</definedName>
    <definedName name="_xlnm.Print_Area" localSheetId="37">'406718046'!$A$1:$P$51</definedName>
    <definedName name="_xlnm.Print_Area" localSheetId="38">'406728342'!$A$1:$P$51</definedName>
    <definedName name="_xlnm.Print_Area" localSheetId="39">'406760039'!$A$1:$P$51</definedName>
    <definedName name="_xlnm.Print_Area" localSheetId="40">'410737135'!$A$1:$P$51</definedName>
    <definedName name="_xlnm.Print_Area" localSheetId="41">'Diario-1-030125'!$A$1:$P$33</definedName>
    <definedName name="_xlnm.Print_Area" localSheetId="42">'Diario-2-140125'!$A$1:$P$33</definedName>
    <definedName name="_xlnm.Print_Area" localSheetId="43">'Diario-3-140125'!$A$1:$P$33</definedName>
    <definedName name="_xlnm.Print_Area" localSheetId="44">'Diario-4-140125'!$A$1:$P$33</definedName>
    <definedName name="_xlnm.Print_Area" localSheetId="45">'Diario-5-140125'!$A$1:$P$33</definedName>
    <definedName name="_xlnm.Print_Area" localSheetId="46">'Diario-6-140125'!$A$1:$P$33</definedName>
    <definedName name="_xlnm.Print_Area" localSheetId="47">'Diario-7-290125'!$A$1:$P$33</definedName>
    <definedName name="_xlnm.Print_Area" localSheetId="48">'Diario-8-290125'!$A$1:$P$33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46" i="48" l="1"/>
  <c r="AH34" i="48"/>
  <c r="AH31" i="48"/>
  <c r="AI8" i="10" l="1"/>
  <c r="F159" i="50" l="1"/>
  <c r="R45" i="51" l="1"/>
  <c r="U44" i="51"/>
  <c r="T44" i="51"/>
  <c r="S44" i="51"/>
  <c r="U43" i="51"/>
  <c r="T43" i="51"/>
  <c r="S43" i="51"/>
  <c r="U42" i="51"/>
  <c r="T42" i="51"/>
  <c r="S42" i="51"/>
  <c r="U41" i="51"/>
  <c r="T41" i="51"/>
  <c r="S41" i="51"/>
  <c r="O41" i="51"/>
  <c r="P43" i="51" s="1"/>
  <c r="U40" i="51"/>
  <c r="T40" i="51"/>
  <c r="S40" i="51"/>
  <c r="O40" i="51"/>
  <c r="AC39" i="51"/>
  <c r="AC40" i="51" s="1"/>
  <c r="AC41" i="51" s="1"/>
  <c r="AC42" i="51" s="1"/>
  <c r="AC43" i="51" s="1"/>
  <c r="AC44" i="51" s="1"/>
  <c r="U39" i="51"/>
  <c r="T39" i="51"/>
  <c r="S39" i="51"/>
  <c r="P39" i="51"/>
  <c r="AC38" i="51"/>
  <c r="AC37" i="51"/>
  <c r="AC36" i="51"/>
  <c r="S36" i="51"/>
  <c r="S37" i="51" s="1"/>
  <c r="S38" i="51" s="1"/>
  <c r="R36" i="51"/>
  <c r="AC35" i="51"/>
  <c r="T35" i="51"/>
  <c r="T36" i="51" s="1"/>
  <c r="T37" i="51" s="1"/>
  <c r="T38" i="51" s="1"/>
  <c r="Q35" i="51"/>
  <c r="Q45" i="51" s="1"/>
  <c r="S45" i="51" s="1"/>
  <c r="P30" i="51"/>
  <c r="P28" i="51"/>
  <c r="J26" i="51"/>
  <c r="I26" i="51"/>
  <c r="K26" i="51" s="1"/>
  <c r="AC22" i="51"/>
  <c r="AC23" i="51" s="1"/>
  <c r="AC24" i="51" s="1"/>
  <c r="AC21" i="51"/>
  <c r="L8" i="51"/>
  <c r="Q7" i="51"/>
  <c r="J27" i="51" l="1"/>
  <c r="AC25" i="51"/>
  <c r="AC26" i="51"/>
  <c r="AC27" i="51" s="1"/>
  <c r="U35" i="51"/>
  <c r="U36" i="51" s="1"/>
  <c r="U37" i="51" s="1"/>
  <c r="U38" i="51" s="1"/>
  <c r="R37" i="51"/>
  <c r="P37" i="51" s="1"/>
  <c r="P45" i="51" s="1"/>
  <c r="O45" i="51"/>
  <c r="P42" i="51"/>
  <c r="R39" i="51"/>
  <c r="Q38" i="51" s="1"/>
  <c r="N45" i="51" l="1"/>
  <c r="P44" i="51"/>
  <c r="G159" i="50"/>
  <c r="J30" i="45"/>
  <c r="J30" i="48" l="1"/>
  <c r="J41" i="48" s="1"/>
  <c r="U62" i="48"/>
  <c r="T62" i="48"/>
  <c r="S62" i="48"/>
  <c r="U61" i="48"/>
  <c r="T61" i="48"/>
  <c r="S61" i="48"/>
  <c r="P61" i="48"/>
  <c r="U60" i="48"/>
  <c r="T60" i="48"/>
  <c r="S60" i="48"/>
  <c r="U59" i="48"/>
  <c r="T59" i="48"/>
  <c r="S59" i="48"/>
  <c r="O59" i="48"/>
  <c r="U58" i="48"/>
  <c r="T58" i="48"/>
  <c r="S58" i="48"/>
  <c r="O58" i="48"/>
  <c r="P60" i="48" s="1"/>
  <c r="AC57" i="48"/>
  <c r="AC58" i="48" s="1"/>
  <c r="AC59" i="48" s="1"/>
  <c r="AC60" i="48" s="1"/>
  <c r="AC61" i="48" s="1"/>
  <c r="AC62" i="48" s="1"/>
  <c r="U57" i="48"/>
  <c r="T57" i="48"/>
  <c r="S57" i="48"/>
  <c r="R57" i="48"/>
  <c r="P57" i="48"/>
  <c r="AC56" i="48"/>
  <c r="Q56" i="48"/>
  <c r="AC55" i="48"/>
  <c r="S55" i="48"/>
  <c r="S56" i="48" s="1"/>
  <c r="R55" i="48"/>
  <c r="P55" i="48"/>
  <c r="P63" i="48" s="1"/>
  <c r="S54" i="48"/>
  <c r="R54" i="48"/>
  <c r="R63" i="48" s="1"/>
  <c r="AC53" i="48"/>
  <c r="AC54" i="48" s="1"/>
  <c r="T53" i="48"/>
  <c r="U53" i="48" s="1"/>
  <c r="U54" i="48" s="1"/>
  <c r="U55" i="48" s="1"/>
  <c r="U56" i="48" s="1"/>
  <c r="Q53" i="48"/>
  <c r="Q63" i="48" s="1"/>
  <c r="P45" i="48"/>
  <c r="P43" i="48"/>
  <c r="AC36" i="48"/>
  <c r="AC37" i="48" s="1"/>
  <c r="AC38" i="48" s="1"/>
  <c r="AC39" i="48" s="1"/>
  <c r="I41" i="48"/>
  <c r="K41" i="48" s="1"/>
  <c r="L24" i="48"/>
  <c r="Q23" i="48"/>
  <c r="Q21" i="48"/>
  <c r="I29" i="47"/>
  <c r="I41" i="47"/>
  <c r="K41" i="47" s="1"/>
  <c r="U62" i="47"/>
  <c r="T62" i="47"/>
  <c r="S62" i="47"/>
  <c r="U61" i="47"/>
  <c r="T61" i="47"/>
  <c r="S61" i="47"/>
  <c r="P61" i="47"/>
  <c r="U60" i="47"/>
  <c r="T60" i="47"/>
  <c r="S60" i="47"/>
  <c r="U59" i="47"/>
  <c r="T59" i="47"/>
  <c r="S59" i="47"/>
  <c r="O59" i="47"/>
  <c r="U58" i="47"/>
  <c r="T58" i="47"/>
  <c r="S58" i="47"/>
  <c r="O58" i="47"/>
  <c r="P62" i="47" s="1"/>
  <c r="AC57" i="47"/>
  <c r="AC58" i="47" s="1"/>
  <c r="AC59" i="47" s="1"/>
  <c r="AC60" i="47" s="1"/>
  <c r="AC61" i="47" s="1"/>
  <c r="AC62" i="47" s="1"/>
  <c r="U57" i="47"/>
  <c r="T57" i="47"/>
  <c r="S57" i="47"/>
  <c r="P57" i="47"/>
  <c r="AC56" i="47"/>
  <c r="AC55" i="47"/>
  <c r="S55" i="47"/>
  <c r="S56" i="47" s="1"/>
  <c r="R55" i="47"/>
  <c r="P55" i="47"/>
  <c r="P63" i="47" s="1"/>
  <c r="S54" i="47"/>
  <c r="R54" i="47"/>
  <c r="R63" i="47" s="1"/>
  <c r="AC53" i="47"/>
  <c r="AC54" i="47" s="1"/>
  <c r="T53" i="47"/>
  <c r="T54" i="47" s="1"/>
  <c r="T55" i="47" s="1"/>
  <c r="T56" i="47" s="1"/>
  <c r="Q53" i="47"/>
  <c r="Q63" i="47" s="1"/>
  <c r="P45" i="47"/>
  <c r="P43" i="47"/>
  <c r="AC37" i="47"/>
  <c r="AC38" i="47" s="1"/>
  <c r="AC39" i="47" s="1"/>
  <c r="AC36" i="47"/>
  <c r="J31" i="47"/>
  <c r="J41" i="47" s="1"/>
  <c r="L24" i="47"/>
  <c r="Q23" i="47"/>
  <c r="Q21" i="47"/>
  <c r="R63" i="46"/>
  <c r="U62" i="46"/>
  <c r="T62" i="46"/>
  <c r="S62" i="46"/>
  <c r="U61" i="46"/>
  <c r="T61" i="46"/>
  <c r="S61" i="46"/>
  <c r="U60" i="46"/>
  <c r="T60" i="46"/>
  <c r="S60" i="46"/>
  <c r="U59" i="46"/>
  <c r="T59" i="46"/>
  <c r="S59" i="46"/>
  <c r="O59" i="46"/>
  <c r="P61" i="46" s="1"/>
  <c r="U58" i="46"/>
  <c r="T58" i="46"/>
  <c r="S58" i="46"/>
  <c r="O58" i="46"/>
  <c r="U57" i="46"/>
  <c r="T57" i="46"/>
  <c r="S57" i="46"/>
  <c r="P57" i="46"/>
  <c r="AC56" i="46"/>
  <c r="S56" i="46"/>
  <c r="AC55" i="46"/>
  <c r="AC57" i="46" s="1"/>
  <c r="AC58" i="46" s="1"/>
  <c r="AC59" i="46" s="1"/>
  <c r="AC60" i="46" s="1"/>
  <c r="AC61" i="46" s="1"/>
  <c r="AC62" i="46" s="1"/>
  <c r="S55" i="46"/>
  <c r="R55" i="46"/>
  <c r="P55" i="46" s="1"/>
  <c r="P63" i="46" s="1"/>
  <c r="AC54" i="46"/>
  <c r="T54" i="46"/>
  <c r="T55" i="46" s="1"/>
  <c r="T56" i="46" s="1"/>
  <c r="S54" i="46"/>
  <c r="R54" i="46"/>
  <c r="AC53" i="46"/>
  <c r="U53" i="46"/>
  <c r="U54" i="46" s="1"/>
  <c r="U55" i="46" s="1"/>
  <c r="U56" i="46" s="1"/>
  <c r="T53" i="46"/>
  <c r="Q53" i="46"/>
  <c r="Q63" i="46" s="1"/>
  <c r="S63" i="46" s="1"/>
  <c r="P43" i="46"/>
  <c r="P45" i="46" s="1"/>
  <c r="I41" i="46"/>
  <c r="K41" i="46" s="1"/>
  <c r="AC36" i="46"/>
  <c r="AC37" i="46" s="1"/>
  <c r="AC38" i="46" s="1"/>
  <c r="AC39" i="46" s="1"/>
  <c r="J31" i="46"/>
  <c r="J41" i="46" s="1"/>
  <c r="J42" i="46" s="1"/>
  <c r="L24" i="46"/>
  <c r="Q23" i="46"/>
  <c r="Q21" i="46"/>
  <c r="U62" i="45"/>
  <c r="T62" i="45"/>
  <c r="S62" i="45"/>
  <c r="U61" i="45"/>
  <c r="T61" i="45"/>
  <c r="S61" i="45"/>
  <c r="P61" i="45"/>
  <c r="U60" i="45"/>
  <c r="T60" i="45"/>
  <c r="S60" i="45"/>
  <c r="U59" i="45"/>
  <c r="T59" i="45"/>
  <c r="S59" i="45"/>
  <c r="O59" i="45"/>
  <c r="U58" i="45"/>
  <c r="T58" i="45"/>
  <c r="S58" i="45"/>
  <c r="O58" i="45"/>
  <c r="P60" i="45" s="1"/>
  <c r="AC57" i="45"/>
  <c r="AC58" i="45" s="1"/>
  <c r="AC59" i="45" s="1"/>
  <c r="AC60" i="45" s="1"/>
  <c r="AC61" i="45" s="1"/>
  <c r="AC62" i="45" s="1"/>
  <c r="U57" i="45"/>
  <c r="T57" i="45"/>
  <c r="S57" i="45"/>
  <c r="P57" i="45"/>
  <c r="AC56" i="45"/>
  <c r="AC55" i="45"/>
  <c r="S55" i="45"/>
  <c r="S56" i="45" s="1"/>
  <c r="R55" i="45"/>
  <c r="P55" i="45"/>
  <c r="P63" i="45" s="1"/>
  <c r="S54" i="45"/>
  <c r="R54" i="45"/>
  <c r="R63" i="45" s="1"/>
  <c r="AC53" i="45"/>
  <c r="AC54" i="45" s="1"/>
  <c r="T53" i="45"/>
  <c r="T54" i="45" s="1"/>
  <c r="T55" i="45" s="1"/>
  <c r="T56" i="45" s="1"/>
  <c r="Q53" i="45"/>
  <c r="Q63" i="45" s="1"/>
  <c r="P45" i="45"/>
  <c r="P43" i="45"/>
  <c r="J41" i="45"/>
  <c r="I41" i="45"/>
  <c r="K41" i="45" s="1"/>
  <c r="AC37" i="45"/>
  <c r="AC38" i="45" s="1"/>
  <c r="AC39" i="45" s="1"/>
  <c r="AC36" i="45"/>
  <c r="L24" i="45"/>
  <c r="Q23" i="45"/>
  <c r="Q21" i="45"/>
  <c r="U62" i="44"/>
  <c r="T62" i="44"/>
  <c r="S62" i="44"/>
  <c r="U61" i="44"/>
  <c r="T61" i="44"/>
  <c r="S61" i="44"/>
  <c r="P61" i="44"/>
  <c r="U60" i="44"/>
  <c r="T60" i="44"/>
  <c r="S60" i="44"/>
  <c r="U59" i="44"/>
  <c r="T59" i="44"/>
  <c r="S59" i="44"/>
  <c r="O59" i="44"/>
  <c r="U58" i="44"/>
  <c r="T58" i="44"/>
  <c r="S58" i="44"/>
  <c r="O58" i="44"/>
  <c r="P60" i="44" s="1"/>
  <c r="AC57" i="44"/>
  <c r="AC58" i="44" s="1"/>
  <c r="AC59" i="44" s="1"/>
  <c r="AC60" i="44" s="1"/>
  <c r="AC61" i="44" s="1"/>
  <c r="AC62" i="44" s="1"/>
  <c r="U57" i="44"/>
  <c r="T57" i="44"/>
  <c r="S57" i="44"/>
  <c r="P57" i="44"/>
  <c r="AC56" i="44"/>
  <c r="AC55" i="44"/>
  <c r="S55" i="44"/>
  <c r="S56" i="44" s="1"/>
  <c r="R55" i="44"/>
  <c r="P55" i="44"/>
  <c r="P63" i="44" s="1"/>
  <c r="S54" i="44"/>
  <c r="R54" i="44"/>
  <c r="R63" i="44" s="1"/>
  <c r="AC53" i="44"/>
  <c r="AC54" i="44" s="1"/>
  <c r="T53" i="44"/>
  <c r="U53" i="44" s="1"/>
  <c r="U54" i="44" s="1"/>
  <c r="U55" i="44" s="1"/>
  <c r="U56" i="44" s="1"/>
  <c r="Q53" i="44"/>
  <c r="Q63" i="44" s="1"/>
  <c r="S63" i="44" s="1"/>
  <c r="P45" i="44"/>
  <c r="P43" i="44"/>
  <c r="I41" i="44"/>
  <c r="K41" i="44" s="1"/>
  <c r="AC37" i="44"/>
  <c r="AC38" i="44" s="1"/>
  <c r="AC39" i="44" s="1"/>
  <c r="AC36" i="44"/>
  <c r="J31" i="44"/>
  <c r="J41" i="44" s="1"/>
  <c r="J42" i="44" s="1"/>
  <c r="L24" i="44"/>
  <c r="Q23" i="44"/>
  <c r="Q21" i="44"/>
  <c r="R64" i="43"/>
  <c r="Q64" i="43"/>
  <c r="S64" i="43" s="1"/>
  <c r="U63" i="43"/>
  <c r="T63" i="43"/>
  <c r="S63" i="43"/>
  <c r="U62" i="43"/>
  <c r="T62" i="43"/>
  <c r="S62" i="43"/>
  <c r="U61" i="43"/>
  <c r="T61" i="43"/>
  <c r="S61" i="43"/>
  <c r="U60" i="43"/>
  <c r="T60" i="43"/>
  <c r="S60" i="43"/>
  <c r="O60" i="43"/>
  <c r="P62" i="43" s="1"/>
  <c r="U59" i="43"/>
  <c r="T59" i="43"/>
  <c r="S59" i="43"/>
  <c r="O59" i="43"/>
  <c r="U58" i="43"/>
  <c r="T58" i="43"/>
  <c r="S58" i="43"/>
  <c r="P58" i="43"/>
  <c r="AC57" i="43"/>
  <c r="AC56" i="43"/>
  <c r="AC58" i="43" s="1"/>
  <c r="AC59" i="43" s="1"/>
  <c r="AC60" i="43" s="1"/>
  <c r="AC61" i="43" s="1"/>
  <c r="AC62" i="43" s="1"/>
  <c r="AC63" i="43" s="1"/>
  <c r="R56" i="43"/>
  <c r="P56" i="43" s="1"/>
  <c r="P64" i="43" s="1"/>
  <c r="T55" i="43"/>
  <c r="T56" i="43" s="1"/>
  <c r="T57" i="43" s="1"/>
  <c r="S55" i="43"/>
  <c r="S56" i="43" s="1"/>
  <c r="S57" i="43" s="1"/>
  <c r="R55" i="43"/>
  <c r="AC54" i="43"/>
  <c r="AC55" i="43" s="1"/>
  <c r="U54" i="43"/>
  <c r="U55" i="43" s="1"/>
  <c r="U56" i="43" s="1"/>
  <c r="U57" i="43" s="1"/>
  <c r="T54" i="43"/>
  <c r="Q54" i="43"/>
  <c r="R58" i="43" s="1"/>
  <c r="Q57" i="43" s="1"/>
  <c r="P44" i="43"/>
  <c r="P46" i="43" s="1"/>
  <c r="I42" i="43"/>
  <c r="K42" i="43" s="1"/>
  <c r="AC40" i="43"/>
  <c r="AC41" i="43" s="1"/>
  <c r="AC39" i="43"/>
  <c r="AC38" i="43"/>
  <c r="AC37" i="43"/>
  <c r="J30" i="43"/>
  <c r="J42" i="43" s="1"/>
  <c r="L24" i="43"/>
  <c r="Q23" i="43"/>
  <c r="Q21" i="43"/>
  <c r="U44" i="42"/>
  <c r="T44" i="42"/>
  <c r="S44" i="42"/>
  <c r="U43" i="42"/>
  <c r="T43" i="42"/>
  <c r="S43" i="42"/>
  <c r="P43" i="42"/>
  <c r="U42" i="42"/>
  <c r="T42" i="42"/>
  <c r="S42" i="42"/>
  <c r="U41" i="42"/>
  <c r="T41" i="42"/>
  <c r="S41" i="42"/>
  <c r="O41" i="42"/>
  <c r="U40" i="42"/>
  <c r="T40" i="42"/>
  <c r="S40" i="42"/>
  <c r="O40" i="42"/>
  <c r="P44" i="42" s="1"/>
  <c r="AC39" i="42"/>
  <c r="AC40" i="42" s="1"/>
  <c r="AC41" i="42" s="1"/>
  <c r="AC42" i="42" s="1"/>
  <c r="AC43" i="42" s="1"/>
  <c r="AC44" i="42" s="1"/>
  <c r="U39" i="42"/>
  <c r="T39" i="42"/>
  <c r="S39" i="42"/>
  <c r="P39" i="42"/>
  <c r="AC38" i="42"/>
  <c r="AC37" i="42"/>
  <c r="R37" i="42"/>
  <c r="P37" i="42"/>
  <c r="P45" i="42" s="1"/>
  <c r="AC36" i="42"/>
  <c r="S36" i="42"/>
  <c r="S37" i="42" s="1"/>
  <c r="S38" i="42" s="1"/>
  <c r="R36" i="42"/>
  <c r="R45" i="42" s="1"/>
  <c r="AC35" i="42"/>
  <c r="T35" i="42"/>
  <c r="T36" i="42" s="1"/>
  <c r="T37" i="42" s="1"/>
  <c r="T38" i="42" s="1"/>
  <c r="Q35" i="42"/>
  <c r="Q45" i="42" s="1"/>
  <c r="P30" i="42"/>
  <c r="P28" i="42"/>
  <c r="J26" i="42"/>
  <c r="I26" i="42"/>
  <c r="K26" i="42" s="1"/>
  <c r="AC22" i="42"/>
  <c r="AC23" i="42" s="1"/>
  <c r="AC24" i="42" s="1"/>
  <c r="AC21" i="42"/>
  <c r="L8" i="42"/>
  <c r="Q7" i="42"/>
  <c r="J31" i="41"/>
  <c r="F12" i="41"/>
  <c r="L24" i="41" s="1"/>
  <c r="U62" i="41"/>
  <c r="T62" i="41"/>
  <c r="S62" i="41"/>
  <c r="U61" i="41"/>
  <c r="T61" i="41"/>
  <c r="S61" i="41"/>
  <c r="P61" i="41"/>
  <c r="U60" i="41"/>
  <c r="T60" i="41"/>
  <c r="S60" i="41"/>
  <c r="U59" i="41"/>
  <c r="T59" i="41"/>
  <c r="S59" i="41"/>
  <c r="O59" i="41"/>
  <c r="U58" i="41"/>
  <c r="T58" i="41"/>
  <c r="S58" i="41"/>
  <c r="O58" i="41"/>
  <c r="P62" i="41" s="1"/>
  <c r="AC57" i="41"/>
  <c r="AC58" i="41" s="1"/>
  <c r="AC59" i="41" s="1"/>
  <c r="AC60" i="41" s="1"/>
  <c r="AC61" i="41" s="1"/>
  <c r="AC62" i="41" s="1"/>
  <c r="U57" i="41"/>
  <c r="T57" i="41"/>
  <c r="S57" i="41"/>
  <c r="P57" i="41"/>
  <c r="AC56" i="41"/>
  <c r="AC55" i="41"/>
  <c r="S55" i="41"/>
  <c r="S56" i="41" s="1"/>
  <c r="R55" i="41"/>
  <c r="P55" i="41"/>
  <c r="P63" i="41" s="1"/>
  <c r="S54" i="41"/>
  <c r="R54" i="41"/>
  <c r="R63" i="41" s="1"/>
  <c r="AC53" i="41"/>
  <c r="AC54" i="41" s="1"/>
  <c r="T53" i="41"/>
  <c r="T54" i="41" s="1"/>
  <c r="T55" i="41" s="1"/>
  <c r="T56" i="41" s="1"/>
  <c r="Q53" i="41"/>
  <c r="Q63" i="41" s="1"/>
  <c r="S63" i="41" s="1"/>
  <c r="P45" i="41"/>
  <c r="P43" i="41"/>
  <c r="I41" i="41"/>
  <c r="K41" i="41" s="1"/>
  <c r="AC36" i="41"/>
  <c r="AC37" i="41" s="1"/>
  <c r="AC38" i="41" s="1"/>
  <c r="AC39" i="41" s="1"/>
  <c r="Q23" i="41"/>
  <c r="Q21" i="41"/>
  <c r="J31" i="40"/>
  <c r="J41" i="40" s="1"/>
  <c r="J42" i="40" s="1"/>
  <c r="R63" i="40"/>
  <c r="U62" i="40"/>
  <c r="T62" i="40"/>
  <c r="S62" i="40"/>
  <c r="U61" i="40"/>
  <c r="T61" i="40"/>
  <c r="S61" i="40"/>
  <c r="P61" i="40"/>
  <c r="U60" i="40"/>
  <c r="T60" i="40"/>
  <c r="S60" i="40"/>
  <c r="U59" i="40"/>
  <c r="T59" i="40"/>
  <c r="S59" i="40"/>
  <c r="O59" i="40"/>
  <c r="U58" i="40"/>
  <c r="T58" i="40"/>
  <c r="S58" i="40"/>
  <c r="O58" i="40"/>
  <c r="AC57" i="40"/>
  <c r="AC58" i="40" s="1"/>
  <c r="AC59" i="40" s="1"/>
  <c r="AC60" i="40" s="1"/>
  <c r="AC61" i="40" s="1"/>
  <c r="AC62" i="40" s="1"/>
  <c r="U57" i="40"/>
  <c r="T57" i="40"/>
  <c r="S57" i="40"/>
  <c r="P57" i="40"/>
  <c r="AC56" i="40"/>
  <c r="AC55" i="40"/>
  <c r="AC54" i="40"/>
  <c r="S54" i="40"/>
  <c r="S55" i="40" s="1"/>
  <c r="S56" i="40" s="1"/>
  <c r="R54" i="40"/>
  <c r="AC53" i="40"/>
  <c r="T53" i="40"/>
  <c r="T54" i="40" s="1"/>
  <c r="T55" i="40" s="1"/>
  <c r="T56" i="40" s="1"/>
  <c r="Q53" i="40"/>
  <c r="Q63" i="40" s="1"/>
  <c r="S63" i="40" s="1"/>
  <c r="P45" i="40"/>
  <c r="P43" i="40"/>
  <c r="I41" i="40"/>
  <c r="K41" i="40" s="1"/>
  <c r="AC38" i="40"/>
  <c r="AC39" i="40" s="1"/>
  <c r="AC37" i="40"/>
  <c r="AC36" i="40"/>
  <c r="L24" i="40"/>
  <c r="Q23" i="40"/>
  <c r="Q21" i="40"/>
  <c r="R63" i="39"/>
  <c r="U62" i="39"/>
  <c r="T62" i="39"/>
  <c r="S62" i="39"/>
  <c r="U61" i="39"/>
  <c r="T61" i="39"/>
  <c r="S61" i="39"/>
  <c r="U60" i="39"/>
  <c r="T60" i="39"/>
  <c r="S60" i="39"/>
  <c r="U59" i="39"/>
  <c r="T59" i="39"/>
  <c r="S59" i="39"/>
  <c r="O59" i="39"/>
  <c r="P61" i="39" s="1"/>
  <c r="U58" i="39"/>
  <c r="T58" i="39"/>
  <c r="S58" i="39"/>
  <c r="O58" i="39"/>
  <c r="U57" i="39"/>
  <c r="T57" i="39"/>
  <c r="S57" i="39"/>
  <c r="P57" i="39"/>
  <c r="AC56" i="39"/>
  <c r="S56" i="39"/>
  <c r="AC55" i="39"/>
  <c r="AC57" i="39" s="1"/>
  <c r="AC58" i="39" s="1"/>
  <c r="AC59" i="39" s="1"/>
  <c r="AC60" i="39" s="1"/>
  <c r="AC61" i="39" s="1"/>
  <c r="AC62" i="39" s="1"/>
  <c r="S55" i="39"/>
  <c r="R55" i="39"/>
  <c r="P55" i="39" s="1"/>
  <c r="P63" i="39" s="1"/>
  <c r="AC54" i="39"/>
  <c r="S54" i="39"/>
  <c r="R54" i="39"/>
  <c r="AC53" i="39"/>
  <c r="T53" i="39"/>
  <c r="T54" i="39" s="1"/>
  <c r="T55" i="39" s="1"/>
  <c r="T56" i="39" s="1"/>
  <c r="Q53" i="39"/>
  <c r="Q63" i="39" s="1"/>
  <c r="S63" i="39" s="1"/>
  <c r="P45" i="39"/>
  <c r="P43" i="39"/>
  <c r="I41" i="39"/>
  <c r="K41" i="39" s="1"/>
  <c r="AC36" i="39"/>
  <c r="AC37" i="39" s="1"/>
  <c r="AC38" i="39" s="1"/>
  <c r="AC39" i="39" s="1"/>
  <c r="J31" i="39"/>
  <c r="J41" i="39" s="1"/>
  <c r="J42" i="39" s="1"/>
  <c r="L24" i="39"/>
  <c r="Q23" i="39"/>
  <c r="Q21" i="39"/>
  <c r="J31" i="38"/>
  <c r="J41" i="38"/>
  <c r="O63" i="38"/>
  <c r="U62" i="38"/>
  <c r="T62" i="38"/>
  <c r="S62" i="38"/>
  <c r="U61" i="38"/>
  <c r="T61" i="38"/>
  <c r="S61" i="38"/>
  <c r="U60" i="38"/>
  <c r="T60" i="38"/>
  <c r="S60" i="38"/>
  <c r="P60" i="38"/>
  <c r="U59" i="38"/>
  <c r="T59" i="38"/>
  <c r="S59" i="38"/>
  <c r="O59" i="38"/>
  <c r="P61" i="38" s="1"/>
  <c r="U58" i="38"/>
  <c r="T58" i="38"/>
  <c r="S58" i="38"/>
  <c r="O58" i="38"/>
  <c r="AC57" i="38"/>
  <c r="AC58" i="38" s="1"/>
  <c r="AC59" i="38" s="1"/>
  <c r="AC60" i="38" s="1"/>
  <c r="AC61" i="38" s="1"/>
  <c r="AC62" i="38" s="1"/>
  <c r="U57" i="38"/>
  <c r="T57" i="38"/>
  <c r="S57" i="38"/>
  <c r="P57" i="38"/>
  <c r="AC56" i="38"/>
  <c r="AC55" i="38"/>
  <c r="AC54" i="38"/>
  <c r="S54" i="38"/>
  <c r="S55" i="38" s="1"/>
  <c r="S56" i="38" s="1"/>
  <c r="R54" i="38"/>
  <c r="R63" i="38" s="1"/>
  <c r="AC53" i="38"/>
  <c r="T53" i="38"/>
  <c r="T54" i="38" s="1"/>
  <c r="T55" i="38" s="1"/>
  <c r="T56" i="38" s="1"/>
  <c r="Q53" i="38"/>
  <c r="Q63" i="38" s="1"/>
  <c r="S63" i="38" s="1"/>
  <c r="P45" i="38"/>
  <c r="P43" i="38"/>
  <c r="I41" i="38"/>
  <c r="AC37" i="38"/>
  <c r="AC38" i="38" s="1"/>
  <c r="AC39" i="38" s="1"/>
  <c r="AC36" i="38"/>
  <c r="L24" i="38"/>
  <c r="Q23" i="38"/>
  <c r="Q21" i="38"/>
  <c r="U62" i="37"/>
  <c r="T62" i="37"/>
  <c r="S62" i="37"/>
  <c r="U61" i="37"/>
  <c r="T61" i="37"/>
  <c r="S61" i="37"/>
  <c r="P61" i="37"/>
  <c r="U60" i="37"/>
  <c r="T60" i="37"/>
  <c r="S60" i="37"/>
  <c r="U59" i="37"/>
  <c r="T59" i="37"/>
  <c r="S59" i="37"/>
  <c r="O59" i="37"/>
  <c r="U58" i="37"/>
  <c r="T58" i="37"/>
  <c r="S58" i="37"/>
  <c r="O58" i="37"/>
  <c r="AC57" i="37"/>
  <c r="AC58" i="37" s="1"/>
  <c r="AC59" i="37" s="1"/>
  <c r="AC60" i="37" s="1"/>
  <c r="AC61" i="37" s="1"/>
  <c r="AC62" i="37" s="1"/>
  <c r="U57" i="37"/>
  <c r="T57" i="37"/>
  <c r="S57" i="37"/>
  <c r="P57" i="37"/>
  <c r="AC56" i="37"/>
  <c r="AC55" i="37"/>
  <c r="AC54" i="37"/>
  <c r="S54" i="37"/>
  <c r="S55" i="37" s="1"/>
  <c r="S56" i="37" s="1"/>
  <c r="R54" i="37"/>
  <c r="R63" i="37" s="1"/>
  <c r="AC53" i="37"/>
  <c r="T53" i="37"/>
  <c r="T54" i="37" s="1"/>
  <c r="T55" i="37" s="1"/>
  <c r="T56" i="37" s="1"/>
  <c r="Q53" i="37"/>
  <c r="Q63" i="37" s="1"/>
  <c r="S63" i="37" s="1"/>
  <c r="P45" i="37"/>
  <c r="P43" i="37"/>
  <c r="J41" i="37"/>
  <c r="J42" i="37" s="1"/>
  <c r="I41" i="37"/>
  <c r="K41" i="37" s="1"/>
  <c r="AC37" i="37"/>
  <c r="AC38" i="37" s="1"/>
  <c r="AC39" i="37" s="1"/>
  <c r="AC36" i="37"/>
  <c r="J30" i="37"/>
  <c r="L24" i="37"/>
  <c r="Q23" i="37"/>
  <c r="Q21" i="37"/>
  <c r="U62" i="36"/>
  <c r="T62" i="36"/>
  <c r="S62" i="36"/>
  <c r="U61" i="36"/>
  <c r="T61" i="36"/>
  <c r="S61" i="36"/>
  <c r="P61" i="36"/>
  <c r="U60" i="36"/>
  <c r="T60" i="36"/>
  <c r="S60" i="36"/>
  <c r="U59" i="36"/>
  <c r="T59" i="36"/>
  <c r="S59" i="36"/>
  <c r="O59" i="36"/>
  <c r="U58" i="36"/>
  <c r="T58" i="36"/>
  <c r="S58" i="36"/>
  <c r="O58" i="36"/>
  <c r="AC57" i="36"/>
  <c r="AC58" i="36" s="1"/>
  <c r="AC59" i="36" s="1"/>
  <c r="AC60" i="36" s="1"/>
  <c r="AC61" i="36" s="1"/>
  <c r="AC62" i="36" s="1"/>
  <c r="U57" i="36"/>
  <c r="T57" i="36"/>
  <c r="S57" i="36"/>
  <c r="P57" i="36"/>
  <c r="AC56" i="36"/>
  <c r="AC55" i="36"/>
  <c r="S55" i="36"/>
  <c r="S56" i="36" s="1"/>
  <c r="R55" i="36"/>
  <c r="P55" i="36" s="1"/>
  <c r="P63" i="36" s="1"/>
  <c r="S54" i="36"/>
  <c r="R54" i="36"/>
  <c r="R63" i="36" s="1"/>
  <c r="AC53" i="36"/>
  <c r="AC54" i="36" s="1"/>
  <c r="U53" i="36"/>
  <c r="U54" i="36" s="1"/>
  <c r="U55" i="36" s="1"/>
  <c r="U56" i="36" s="1"/>
  <c r="T53" i="36"/>
  <c r="T54" i="36" s="1"/>
  <c r="T55" i="36" s="1"/>
  <c r="T56" i="36" s="1"/>
  <c r="Q53" i="36"/>
  <c r="Q63" i="36" s="1"/>
  <c r="P43" i="36"/>
  <c r="P45" i="36" s="1"/>
  <c r="K41" i="36"/>
  <c r="I41" i="36"/>
  <c r="AC36" i="36"/>
  <c r="AC37" i="36" s="1"/>
  <c r="AC38" i="36" s="1"/>
  <c r="AC39" i="36" s="1"/>
  <c r="J30" i="36"/>
  <c r="J41" i="36" s="1"/>
  <c r="J42" i="36" s="1"/>
  <c r="L24" i="36"/>
  <c r="Q23" i="36"/>
  <c r="Q21" i="36"/>
  <c r="R63" i="35"/>
  <c r="U62" i="35"/>
  <c r="T62" i="35"/>
  <c r="S62" i="35"/>
  <c r="U61" i="35"/>
  <c r="T61" i="35"/>
  <c r="S61" i="35"/>
  <c r="P61" i="35"/>
  <c r="U60" i="35"/>
  <c r="T60" i="35"/>
  <c r="S60" i="35"/>
  <c r="U59" i="35"/>
  <c r="T59" i="35"/>
  <c r="S59" i="35"/>
  <c r="O59" i="35"/>
  <c r="U58" i="35"/>
  <c r="T58" i="35"/>
  <c r="S58" i="35"/>
  <c r="O58" i="35"/>
  <c r="P62" i="35" s="1"/>
  <c r="AC57" i="35"/>
  <c r="AC58" i="35" s="1"/>
  <c r="AC59" i="35" s="1"/>
  <c r="AC60" i="35" s="1"/>
  <c r="AC61" i="35" s="1"/>
  <c r="AC62" i="35" s="1"/>
  <c r="U57" i="35"/>
  <c r="T57" i="35"/>
  <c r="S57" i="35"/>
  <c r="P57" i="35"/>
  <c r="AC56" i="35"/>
  <c r="AC55" i="35"/>
  <c r="S55" i="35"/>
  <c r="S56" i="35" s="1"/>
  <c r="R55" i="35"/>
  <c r="P55" i="35"/>
  <c r="P63" i="35" s="1"/>
  <c r="S54" i="35"/>
  <c r="R54" i="35"/>
  <c r="AC53" i="35"/>
  <c r="AC54" i="35" s="1"/>
  <c r="T53" i="35"/>
  <c r="T54" i="35" s="1"/>
  <c r="T55" i="35" s="1"/>
  <c r="T56" i="35" s="1"/>
  <c r="Q53" i="35"/>
  <c r="Q63" i="35" s="1"/>
  <c r="S63" i="35" s="1"/>
  <c r="P45" i="35"/>
  <c r="P43" i="35"/>
  <c r="I41" i="35"/>
  <c r="K41" i="35" s="1"/>
  <c r="AC36" i="35"/>
  <c r="AC37" i="35" s="1"/>
  <c r="AC38" i="35" s="1"/>
  <c r="AC39" i="35" s="1"/>
  <c r="J30" i="35"/>
  <c r="J41" i="35" s="1"/>
  <c r="L24" i="35"/>
  <c r="Q23" i="35"/>
  <c r="Q21" i="35"/>
  <c r="U62" i="34"/>
  <c r="T62" i="34"/>
  <c r="S62" i="34"/>
  <c r="U61" i="34"/>
  <c r="T61" i="34"/>
  <c r="S61" i="34"/>
  <c r="P61" i="34"/>
  <c r="U60" i="34"/>
  <c r="T60" i="34"/>
  <c r="S60" i="34"/>
  <c r="U59" i="34"/>
  <c r="T59" i="34"/>
  <c r="S59" i="34"/>
  <c r="O59" i="34"/>
  <c r="U58" i="34"/>
  <c r="T58" i="34"/>
  <c r="S58" i="34"/>
  <c r="O58" i="34"/>
  <c r="AC57" i="34"/>
  <c r="AC58" i="34" s="1"/>
  <c r="AC59" i="34" s="1"/>
  <c r="AC60" i="34" s="1"/>
  <c r="AC61" i="34" s="1"/>
  <c r="AC62" i="34" s="1"/>
  <c r="U57" i="34"/>
  <c r="T57" i="34"/>
  <c r="S57" i="34"/>
  <c r="R57" i="34"/>
  <c r="Q56" i="34" s="1"/>
  <c r="P57" i="34"/>
  <c r="AC56" i="34"/>
  <c r="AC55" i="34"/>
  <c r="R55" i="34"/>
  <c r="P55" i="34" s="1"/>
  <c r="P63" i="34" s="1"/>
  <c r="S54" i="34"/>
  <c r="S55" i="34" s="1"/>
  <c r="S56" i="34" s="1"/>
  <c r="R54" i="34"/>
  <c r="R63" i="34" s="1"/>
  <c r="AC53" i="34"/>
  <c r="AC54" i="34" s="1"/>
  <c r="T53" i="34"/>
  <c r="T54" i="34" s="1"/>
  <c r="T55" i="34" s="1"/>
  <c r="T56" i="34" s="1"/>
  <c r="Q53" i="34"/>
  <c r="Q63" i="34" s="1"/>
  <c r="S63" i="34" s="1"/>
  <c r="P45" i="34"/>
  <c r="P43" i="34"/>
  <c r="I41" i="34"/>
  <c r="K41" i="34" s="1"/>
  <c r="AC38" i="34"/>
  <c r="AC39" i="34" s="1"/>
  <c r="AC37" i="34"/>
  <c r="AC36" i="34"/>
  <c r="J30" i="34"/>
  <c r="J41" i="34" s="1"/>
  <c r="L24" i="34"/>
  <c r="Q23" i="34"/>
  <c r="Q21" i="34"/>
  <c r="J30" i="33"/>
  <c r="U62" i="33"/>
  <c r="T62" i="33"/>
  <c r="S62" i="33"/>
  <c r="U61" i="33"/>
  <c r="T61" i="33"/>
  <c r="S61" i="33"/>
  <c r="P61" i="33"/>
  <c r="U60" i="33"/>
  <c r="T60" i="33"/>
  <c r="S60" i="33"/>
  <c r="U59" i="33"/>
  <c r="T59" i="33"/>
  <c r="S59" i="33"/>
  <c r="O59" i="33"/>
  <c r="U58" i="33"/>
  <c r="T58" i="33"/>
  <c r="S58" i="33"/>
  <c r="O58" i="33"/>
  <c r="P62" i="33" s="1"/>
  <c r="AC57" i="33"/>
  <c r="AC58" i="33" s="1"/>
  <c r="AC59" i="33" s="1"/>
  <c r="AC60" i="33" s="1"/>
  <c r="AC61" i="33" s="1"/>
  <c r="AC62" i="33" s="1"/>
  <c r="U57" i="33"/>
  <c r="T57" i="33"/>
  <c r="S57" i="33"/>
  <c r="P57" i="33"/>
  <c r="AC56" i="33"/>
  <c r="AC55" i="33"/>
  <c r="R55" i="33"/>
  <c r="P55" i="33"/>
  <c r="P63" i="33" s="1"/>
  <c r="S54" i="33"/>
  <c r="S55" i="33" s="1"/>
  <c r="S56" i="33" s="1"/>
  <c r="R54" i="33"/>
  <c r="R63" i="33" s="1"/>
  <c r="AC53" i="33"/>
  <c r="AC54" i="33" s="1"/>
  <c r="T53" i="33"/>
  <c r="U53" i="33" s="1"/>
  <c r="U54" i="33" s="1"/>
  <c r="U55" i="33" s="1"/>
  <c r="U56" i="33" s="1"/>
  <c r="Q53" i="33"/>
  <c r="Q63" i="33" s="1"/>
  <c r="S63" i="33" s="1"/>
  <c r="P43" i="33"/>
  <c r="P45" i="33" s="1"/>
  <c r="I41" i="33"/>
  <c r="K41" i="33" s="1"/>
  <c r="AC36" i="33"/>
  <c r="AC37" i="33" s="1"/>
  <c r="AC38" i="33" s="1"/>
  <c r="AC39" i="33" s="1"/>
  <c r="L24" i="33"/>
  <c r="Q23" i="33"/>
  <c r="Q21" i="33"/>
  <c r="J36" i="32"/>
  <c r="G160" i="50" l="1"/>
  <c r="J42" i="48"/>
  <c r="AC40" i="48"/>
  <c r="AC41" i="48"/>
  <c r="AC42" i="48" s="1"/>
  <c r="S63" i="48"/>
  <c r="O63" i="48"/>
  <c r="N63" i="48" s="1"/>
  <c r="T54" i="48"/>
  <c r="T55" i="48" s="1"/>
  <c r="T56" i="48" s="1"/>
  <c r="P62" i="48"/>
  <c r="J42" i="47"/>
  <c r="AC40" i="47"/>
  <c r="AC41" i="47"/>
  <c r="AC42" i="47" s="1"/>
  <c r="S63" i="47"/>
  <c r="P60" i="47"/>
  <c r="O63" i="47"/>
  <c r="N63" i="47" s="1"/>
  <c r="R57" i="47"/>
  <c r="Q56" i="47" s="1"/>
  <c r="U53" i="47"/>
  <c r="U54" i="47" s="1"/>
  <c r="U55" i="47" s="1"/>
  <c r="U56" i="47" s="1"/>
  <c r="P62" i="46"/>
  <c r="AC40" i="46"/>
  <c r="AC41" i="46"/>
  <c r="AC42" i="46" s="1"/>
  <c r="P60" i="46"/>
  <c r="O63" i="46"/>
  <c r="N63" i="46" s="1"/>
  <c r="R57" i="46"/>
  <c r="Q56" i="46" s="1"/>
  <c r="J42" i="45"/>
  <c r="AC40" i="45"/>
  <c r="AC41" i="45"/>
  <c r="AC42" i="45" s="1"/>
  <c r="S63" i="45"/>
  <c r="U53" i="45"/>
  <c r="U54" i="45" s="1"/>
  <c r="U55" i="45" s="1"/>
  <c r="U56" i="45" s="1"/>
  <c r="O63" i="45"/>
  <c r="N63" i="45" s="1"/>
  <c r="R57" i="45"/>
  <c r="Q56" i="45" s="1"/>
  <c r="P62" i="45"/>
  <c r="AC40" i="44"/>
  <c r="AC41" i="44"/>
  <c r="AC42" i="44" s="1"/>
  <c r="O63" i="44"/>
  <c r="N63" i="44" s="1"/>
  <c r="R57" i="44"/>
  <c r="Q56" i="44" s="1"/>
  <c r="T54" i="44"/>
  <c r="T55" i="44" s="1"/>
  <c r="T56" i="44" s="1"/>
  <c r="P62" i="44"/>
  <c r="J43" i="43"/>
  <c r="P63" i="43"/>
  <c r="AC42" i="43"/>
  <c r="AC43" i="43" s="1"/>
  <c r="P61" i="43"/>
  <c r="O64" i="43"/>
  <c r="N64" i="43" s="1"/>
  <c r="J27" i="42"/>
  <c r="AC25" i="42"/>
  <c r="AC26" i="42"/>
  <c r="AC27" i="42" s="1"/>
  <c r="S45" i="42"/>
  <c r="U35" i="42"/>
  <c r="U36" i="42" s="1"/>
  <c r="U37" i="42" s="1"/>
  <c r="U38" i="42" s="1"/>
  <c r="O45" i="42"/>
  <c r="N45" i="42" s="1"/>
  <c r="R39" i="42"/>
  <c r="Q38" i="42" s="1"/>
  <c r="P42" i="42"/>
  <c r="J41" i="41"/>
  <c r="J42" i="41" s="1"/>
  <c r="AC40" i="41"/>
  <c r="AC41" i="41"/>
  <c r="AC42" i="41" s="1"/>
  <c r="U53" i="41"/>
  <c r="U54" i="41" s="1"/>
  <c r="U55" i="41" s="1"/>
  <c r="U56" i="41" s="1"/>
  <c r="P60" i="41"/>
  <c r="O63" i="41"/>
  <c r="N63" i="41" s="1"/>
  <c r="R57" i="41"/>
  <c r="Q56" i="41" s="1"/>
  <c r="AC40" i="40"/>
  <c r="AC41" i="40"/>
  <c r="AC42" i="40" s="1"/>
  <c r="U53" i="40"/>
  <c r="U54" i="40" s="1"/>
  <c r="U55" i="40" s="1"/>
  <c r="U56" i="40" s="1"/>
  <c r="P60" i="40"/>
  <c r="O63" i="40"/>
  <c r="R57" i="40"/>
  <c r="Q56" i="40" s="1"/>
  <c r="R55" i="40"/>
  <c r="P55" i="40" s="1"/>
  <c r="P63" i="40" s="1"/>
  <c r="P62" i="39"/>
  <c r="AC41" i="39"/>
  <c r="AC42" i="39" s="1"/>
  <c r="AC40" i="39"/>
  <c r="U53" i="39"/>
  <c r="U54" i="39" s="1"/>
  <c r="U55" i="39" s="1"/>
  <c r="U56" i="39" s="1"/>
  <c r="P60" i="39"/>
  <c r="O63" i="39"/>
  <c r="N63" i="39" s="1"/>
  <c r="R57" i="39"/>
  <c r="Q56" i="39" s="1"/>
  <c r="J42" i="38"/>
  <c r="AC40" i="38"/>
  <c r="AC41" i="38"/>
  <c r="AC42" i="38" s="1"/>
  <c r="K41" i="38"/>
  <c r="U53" i="38"/>
  <c r="U54" i="38" s="1"/>
  <c r="U55" i="38" s="1"/>
  <c r="U56" i="38" s="1"/>
  <c r="R55" i="38"/>
  <c r="P55" i="38" s="1"/>
  <c r="P63" i="38" s="1"/>
  <c r="N63" i="38" s="1"/>
  <c r="R57" i="38"/>
  <c r="Q56" i="38" s="1"/>
  <c r="AC40" i="37"/>
  <c r="AC41" i="37"/>
  <c r="AC42" i="37" s="1"/>
  <c r="U53" i="37"/>
  <c r="U54" i="37" s="1"/>
  <c r="U55" i="37" s="1"/>
  <c r="U56" i="37" s="1"/>
  <c r="R55" i="37"/>
  <c r="P55" i="37" s="1"/>
  <c r="P63" i="37" s="1"/>
  <c r="P60" i="37"/>
  <c r="O63" i="37"/>
  <c r="N63" i="37" s="1"/>
  <c r="R57" i="37"/>
  <c r="Q56" i="37" s="1"/>
  <c r="P62" i="36"/>
  <c r="AC40" i="36"/>
  <c r="AC41" i="36"/>
  <c r="AC42" i="36" s="1"/>
  <c r="S63" i="36"/>
  <c r="P60" i="36"/>
  <c r="O63" i="36"/>
  <c r="N63" i="36" s="1"/>
  <c r="R57" i="36"/>
  <c r="Q56" i="36" s="1"/>
  <c r="J42" i="35"/>
  <c r="AC40" i="35"/>
  <c r="AC41" i="35"/>
  <c r="AC42" i="35" s="1"/>
  <c r="U53" i="35"/>
  <c r="U54" i="35" s="1"/>
  <c r="U55" i="35" s="1"/>
  <c r="U56" i="35" s="1"/>
  <c r="P60" i="35"/>
  <c r="O63" i="35"/>
  <c r="N63" i="35" s="1"/>
  <c r="R57" i="35"/>
  <c r="Q56" i="35" s="1"/>
  <c r="J42" i="34"/>
  <c r="AC40" i="34"/>
  <c r="AC41" i="34"/>
  <c r="AC42" i="34" s="1"/>
  <c r="P62" i="34"/>
  <c r="U53" i="34"/>
  <c r="U54" i="34" s="1"/>
  <c r="U55" i="34" s="1"/>
  <c r="U56" i="34" s="1"/>
  <c r="P60" i="34"/>
  <c r="O63" i="34"/>
  <c r="N63" i="34" s="1"/>
  <c r="J41" i="33"/>
  <c r="J42" i="33" s="1"/>
  <c r="AC40" i="33"/>
  <c r="AC41" i="33"/>
  <c r="AC42" i="33" s="1"/>
  <c r="P60" i="33"/>
  <c r="O63" i="33"/>
  <c r="N63" i="33" s="1"/>
  <c r="R57" i="33"/>
  <c r="Q56" i="33" s="1"/>
  <c r="T54" i="33"/>
  <c r="T55" i="33" s="1"/>
  <c r="T56" i="33" s="1"/>
  <c r="U62" i="32"/>
  <c r="T62" i="32"/>
  <c r="S62" i="32"/>
  <c r="U61" i="32"/>
  <c r="T61" i="32"/>
  <c r="S61" i="32"/>
  <c r="U60" i="32"/>
  <c r="T60" i="32"/>
  <c r="S60" i="32"/>
  <c r="U59" i="32"/>
  <c r="T59" i="32"/>
  <c r="S59" i="32"/>
  <c r="O59" i="32"/>
  <c r="P61" i="32" s="1"/>
  <c r="U58" i="32"/>
  <c r="T58" i="32"/>
  <c r="S58" i="32"/>
  <c r="O58" i="32"/>
  <c r="O63" i="32" s="1"/>
  <c r="U57" i="32"/>
  <c r="T57" i="32"/>
  <c r="S57" i="32"/>
  <c r="P57" i="32"/>
  <c r="AC56" i="32"/>
  <c r="AC55" i="32"/>
  <c r="AC57" i="32" s="1"/>
  <c r="AC58" i="32" s="1"/>
  <c r="AC59" i="32" s="1"/>
  <c r="AC60" i="32" s="1"/>
  <c r="AC61" i="32" s="1"/>
  <c r="AC62" i="32" s="1"/>
  <c r="S54" i="32"/>
  <c r="S55" i="32" s="1"/>
  <c r="S56" i="32" s="1"/>
  <c r="R54" i="32"/>
  <c r="R55" i="32" s="1"/>
  <c r="P55" i="32" s="1"/>
  <c r="AC53" i="32"/>
  <c r="AC54" i="32" s="1"/>
  <c r="T53" i="32"/>
  <c r="T54" i="32" s="1"/>
  <c r="T55" i="32" s="1"/>
  <c r="T56" i="32" s="1"/>
  <c r="Q53" i="32"/>
  <c r="Q63" i="32" s="1"/>
  <c r="P43" i="32"/>
  <c r="P45" i="32" s="1"/>
  <c r="I41" i="32"/>
  <c r="K41" i="32" s="1"/>
  <c r="AC36" i="32"/>
  <c r="AC37" i="32" s="1"/>
  <c r="AC38" i="32" s="1"/>
  <c r="AC39" i="32" s="1"/>
  <c r="J41" i="32"/>
  <c r="L24" i="32"/>
  <c r="Q23" i="32"/>
  <c r="Q21" i="32"/>
  <c r="N63" i="40" l="1"/>
  <c r="P62" i="40"/>
  <c r="P62" i="38"/>
  <c r="P62" i="37"/>
  <c r="U53" i="32"/>
  <c r="U54" i="32" s="1"/>
  <c r="U55" i="32" s="1"/>
  <c r="U56" i="32" s="1"/>
  <c r="R57" i="32"/>
  <c r="Q56" i="32" s="1"/>
  <c r="J42" i="32"/>
  <c r="AC41" i="32"/>
  <c r="AC42" i="32" s="1"/>
  <c r="AC40" i="32"/>
  <c r="P63" i="32"/>
  <c r="P62" i="32"/>
  <c r="N63" i="32"/>
  <c r="R63" i="32"/>
  <c r="S63" i="32" s="1"/>
  <c r="P60" i="32"/>
  <c r="U63" i="31" l="1"/>
  <c r="T63" i="31"/>
  <c r="S63" i="31"/>
  <c r="U62" i="31"/>
  <c r="T62" i="31"/>
  <c r="S62" i="31"/>
  <c r="P62" i="31"/>
  <c r="U61" i="31"/>
  <c r="T61" i="31"/>
  <c r="S61" i="31"/>
  <c r="U60" i="31"/>
  <c r="T60" i="31"/>
  <c r="S60" i="31"/>
  <c r="O60" i="31"/>
  <c r="U59" i="31"/>
  <c r="T59" i="31"/>
  <c r="S59" i="31"/>
  <c r="O59" i="31"/>
  <c r="O64" i="31" s="1"/>
  <c r="AC58" i="31"/>
  <c r="AC59" i="31" s="1"/>
  <c r="AC60" i="31" s="1"/>
  <c r="AC61" i="31" s="1"/>
  <c r="AC62" i="31" s="1"/>
  <c r="AC63" i="31" s="1"/>
  <c r="U58" i="31"/>
  <c r="T58" i="31"/>
  <c r="S58" i="31"/>
  <c r="P58" i="31"/>
  <c r="AC57" i="31"/>
  <c r="AC56" i="31"/>
  <c r="AC55" i="31"/>
  <c r="S55" i="31"/>
  <c r="S56" i="31" s="1"/>
  <c r="S57" i="31" s="1"/>
  <c r="R55" i="31"/>
  <c r="R64" i="31" s="1"/>
  <c r="AC54" i="31"/>
  <c r="T54" i="31"/>
  <c r="U54" i="31" s="1"/>
  <c r="U55" i="31" s="1"/>
  <c r="U56" i="31" s="1"/>
  <c r="U57" i="31" s="1"/>
  <c r="Q54" i="31"/>
  <c r="R56" i="31" s="1"/>
  <c r="P56" i="31" s="1"/>
  <c r="P64" i="31" s="1"/>
  <c r="P46" i="31"/>
  <c r="P44" i="31"/>
  <c r="I42" i="31"/>
  <c r="K42" i="31" s="1"/>
  <c r="AC38" i="31"/>
  <c r="AC39" i="31" s="1"/>
  <c r="AC40" i="31" s="1"/>
  <c r="AC37" i="31"/>
  <c r="J31" i="31"/>
  <c r="J42" i="31" s="1"/>
  <c r="J43" i="31" s="1"/>
  <c r="L24" i="31"/>
  <c r="Q23" i="31"/>
  <c r="Q21" i="31"/>
  <c r="I15" i="30"/>
  <c r="Q45" i="30"/>
  <c r="S45" i="30" s="1"/>
  <c r="U44" i="30"/>
  <c r="T44" i="30"/>
  <c r="S44" i="30"/>
  <c r="U43" i="30"/>
  <c r="T43" i="30"/>
  <c r="S43" i="30"/>
  <c r="U42" i="30"/>
  <c r="T42" i="30"/>
  <c r="S42" i="30"/>
  <c r="U41" i="30"/>
  <c r="T41" i="30"/>
  <c r="S41" i="30"/>
  <c r="O41" i="30"/>
  <c r="P43" i="30" s="1"/>
  <c r="U40" i="30"/>
  <c r="T40" i="30"/>
  <c r="S40" i="30"/>
  <c r="O40" i="30"/>
  <c r="P44" i="30" s="1"/>
  <c r="U39" i="30"/>
  <c r="T39" i="30"/>
  <c r="S39" i="30"/>
  <c r="R39" i="30"/>
  <c r="Q38" i="30" s="1"/>
  <c r="P39" i="30"/>
  <c r="AC38" i="30"/>
  <c r="AC37" i="30"/>
  <c r="AC39" i="30" s="1"/>
  <c r="AC40" i="30" s="1"/>
  <c r="AC41" i="30" s="1"/>
  <c r="AC42" i="30" s="1"/>
  <c r="AC43" i="30" s="1"/>
  <c r="AC44" i="30" s="1"/>
  <c r="T37" i="30"/>
  <c r="T38" i="30" s="1"/>
  <c r="S37" i="30"/>
  <c r="S38" i="30" s="1"/>
  <c r="R37" i="30"/>
  <c r="P37" i="30" s="1"/>
  <c r="P45" i="30" s="1"/>
  <c r="T36" i="30"/>
  <c r="S36" i="30"/>
  <c r="R36" i="30"/>
  <c r="R45" i="30" s="1"/>
  <c r="AC35" i="30"/>
  <c r="AC36" i="30" s="1"/>
  <c r="U35" i="30"/>
  <c r="U36" i="30" s="1"/>
  <c r="U37" i="30" s="1"/>
  <c r="U38" i="30" s="1"/>
  <c r="T35" i="30"/>
  <c r="Q35" i="30"/>
  <c r="P28" i="30"/>
  <c r="P30" i="30" s="1"/>
  <c r="AC21" i="30"/>
  <c r="AC22" i="30" s="1"/>
  <c r="AC23" i="30" s="1"/>
  <c r="AC24" i="30" s="1"/>
  <c r="J26" i="30"/>
  <c r="L8" i="30"/>
  <c r="Q7" i="30"/>
  <c r="AC41" i="31" l="1"/>
  <c r="AC42" i="31"/>
  <c r="AC43" i="31" s="1"/>
  <c r="N64" i="31"/>
  <c r="R58" i="31"/>
  <c r="Q57" i="31" s="1"/>
  <c r="T55" i="31"/>
  <c r="T56" i="31" s="1"/>
  <c r="T57" i="31" s="1"/>
  <c r="P63" i="31"/>
  <c r="Q64" i="31"/>
  <c r="S64" i="31" s="1"/>
  <c r="P61" i="31"/>
  <c r="I16" i="30"/>
  <c r="I26" i="30" s="1"/>
  <c r="K26" i="30" s="1"/>
  <c r="AC26" i="30"/>
  <c r="AC27" i="30" s="1"/>
  <c r="AC25" i="30"/>
  <c r="P42" i="30"/>
  <c r="O45" i="30"/>
  <c r="N45" i="30" s="1"/>
  <c r="J27" i="30" l="1"/>
  <c r="U63" i="29" l="1"/>
  <c r="T63" i="29"/>
  <c r="S63" i="29"/>
  <c r="U62" i="29"/>
  <c r="T62" i="29"/>
  <c r="S62" i="29"/>
  <c r="P62" i="29"/>
  <c r="U61" i="29"/>
  <c r="T61" i="29"/>
  <c r="S61" i="29"/>
  <c r="U60" i="29"/>
  <c r="T60" i="29"/>
  <c r="S60" i="29"/>
  <c r="O60" i="29"/>
  <c r="U59" i="29"/>
  <c r="T59" i="29"/>
  <c r="S59" i="29"/>
  <c r="O59" i="29"/>
  <c r="P63" i="29" s="1"/>
  <c r="AC58" i="29"/>
  <c r="AC59" i="29" s="1"/>
  <c r="AC60" i="29" s="1"/>
  <c r="AC61" i="29" s="1"/>
  <c r="AC62" i="29" s="1"/>
  <c r="AC63" i="29" s="1"/>
  <c r="U58" i="29"/>
  <c r="T58" i="29"/>
  <c r="S58" i="29"/>
  <c r="P58" i="29"/>
  <c r="AC57" i="29"/>
  <c r="AC56" i="29"/>
  <c r="R56" i="29"/>
  <c r="P56" i="29"/>
  <c r="P64" i="29" s="1"/>
  <c r="S55" i="29"/>
  <c r="S56" i="29" s="1"/>
  <c r="S57" i="29" s="1"/>
  <c r="R55" i="29"/>
  <c r="R64" i="29" s="1"/>
  <c r="AC54" i="29"/>
  <c r="AC55" i="29" s="1"/>
  <c r="T54" i="29"/>
  <c r="T55" i="29" s="1"/>
  <c r="T56" i="29" s="1"/>
  <c r="T57" i="29" s="1"/>
  <c r="Q54" i="29"/>
  <c r="Q64" i="29" s="1"/>
  <c r="S64" i="29" s="1"/>
  <c r="P46" i="29"/>
  <c r="P44" i="29"/>
  <c r="I42" i="29"/>
  <c r="K42" i="29" s="1"/>
  <c r="AC38" i="29"/>
  <c r="AC39" i="29" s="1"/>
  <c r="AC40" i="29" s="1"/>
  <c r="AC37" i="29"/>
  <c r="J31" i="29"/>
  <c r="J42" i="29" s="1"/>
  <c r="J43" i="29" s="1"/>
  <c r="L24" i="29"/>
  <c r="Q23" i="29"/>
  <c r="Q21" i="29"/>
  <c r="I16" i="28"/>
  <c r="I26" i="28" s="1"/>
  <c r="K26" i="28" s="1"/>
  <c r="J14" i="28"/>
  <c r="I15" i="28"/>
  <c r="R45" i="28"/>
  <c r="U44" i="28"/>
  <c r="T44" i="28"/>
  <c r="S44" i="28"/>
  <c r="U43" i="28"/>
  <c r="T43" i="28"/>
  <c r="S43" i="28"/>
  <c r="U42" i="28"/>
  <c r="T42" i="28"/>
  <c r="S42" i="28"/>
  <c r="P42" i="28"/>
  <c r="U41" i="28"/>
  <c r="T41" i="28"/>
  <c r="S41" i="28"/>
  <c r="O41" i="28"/>
  <c r="O45" i="28" s="1"/>
  <c r="U40" i="28"/>
  <c r="T40" i="28"/>
  <c r="S40" i="28"/>
  <c r="O40" i="28"/>
  <c r="AC39" i="28"/>
  <c r="AC40" i="28" s="1"/>
  <c r="AC41" i="28" s="1"/>
  <c r="AC42" i="28" s="1"/>
  <c r="AC43" i="28" s="1"/>
  <c r="AC44" i="28" s="1"/>
  <c r="U39" i="28"/>
  <c r="T39" i="28"/>
  <c r="S39" i="28"/>
  <c r="P39" i="28"/>
  <c r="AC38" i="28"/>
  <c r="AC37" i="28"/>
  <c r="S37" i="28"/>
  <c r="S38" i="28" s="1"/>
  <c r="U36" i="28"/>
  <c r="U37" i="28" s="1"/>
  <c r="U38" i="28" s="1"/>
  <c r="S36" i="28"/>
  <c r="R36" i="28"/>
  <c r="AC35" i="28"/>
  <c r="AC36" i="28" s="1"/>
  <c r="U35" i="28"/>
  <c r="T35" i="28"/>
  <c r="T36" i="28" s="1"/>
  <c r="T37" i="28" s="1"/>
  <c r="T38" i="28" s="1"/>
  <c r="Q35" i="28"/>
  <c r="Q45" i="28" s="1"/>
  <c r="S45" i="28" s="1"/>
  <c r="P30" i="28"/>
  <c r="P28" i="28"/>
  <c r="AC21" i="28"/>
  <c r="AC22" i="28" s="1"/>
  <c r="AC23" i="28" s="1"/>
  <c r="AC24" i="28" s="1"/>
  <c r="L8" i="28"/>
  <c r="Q7" i="28"/>
  <c r="U63" i="27"/>
  <c r="T63" i="27"/>
  <c r="S63" i="27"/>
  <c r="U62" i="27"/>
  <c r="T62" i="27"/>
  <c r="S62" i="27"/>
  <c r="P62" i="27"/>
  <c r="U61" i="27"/>
  <c r="T61" i="27"/>
  <c r="S61" i="27"/>
  <c r="U60" i="27"/>
  <c r="T60" i="27"/>
  <c r="S60" i="27"/>
  <c r="O60" i="27"/>
  <c r="U59" i="27"/>
  <c r="T59" i="27"/>
  <c r="S59" i="27"/>
  <c r="O59" i="27"/>
  <c r="P63" i="27" s="1"/>
  <c r="AC58" i="27"/>
  <c r="AC59" i="27" s="1"/>
  <c r="AC60" i="27" s="1"/>
  <c r="AC61" i="27" s="1"/>
  <c r="AC62" i="27" s="1"/>
  <c r="AC63" i="27" s="1"/>
  <c r="U58" i="27"/>
  <c r="T58" i="27"/>
  <c r="S58" i="27"/>
  <c r="P58" i="27"/>
  <c r="AC57" i="27"/>
  <c r="AC56" i="27"/>
  <c r="R56" i="27"/>
  <c r="P56" i="27"/>
  <c r="P64" i="27" s="1"/>
  <c r="AC55" i="27"/>
  <c r="S55" i="27"/>
  <c r="S56" i="27" s="1"/>
  <c r="S57" i="27" s="1"/>
  <c r="R55" i="27"/>
  <c r="R64" i="27" s="1"/>
  <c r="AC54" i="27"/>
  <c r="T54" i="27"/>
  <c r="T55" i="27" s="1"/>
  <c r="T56" i="27" s="1"/>
  <c r="T57" i="27" s="1"/>
  <c r="Q54" i="27"/>
  <c r="Q64" i="27" s="1"/>
  <c r="S64" i="27" s="1"/>
  <c r="P46" i="27"/>
  <c r="P44" i="27"/>
  <c r="J42" i="27"/>
  <c r="I42" i="27"/>
  <c r="K42" i="27" s="1"/>
  <c r="AC38" i="27"/>
  <c r="AC39" i="27" s="1"/>
  <c r="AC40" i="27" s="1"/>
  <c r="AC37" i="27"/>
  <c r="J31" i="27"/>
  <c r="L24" i="27"/>
  <c r="Q23" i="27"/>
  <c r="Q21" i="27"/>
  <c r="U63" i="26"/>
  <c r="T63" i="26"/>
  <c r="S63" i="26"/>
  <c r="U62" i="26"/>
  <c r="T62" i="26"/>
  <c r="S62" i="26"/>
  <c r="P62" i="26"/>
  <c r="U61" i="26"/>
  <c r="T61" i="26"/>
  <c r="S61" i="26"/>
  <c r="U60" i="26"/>
  <c r="T60" i="26"/>
  <c r="S60" i="26"/>
  <c r="O60" i="26"/>
  <c r="U59" i="26"/>
  <c r="T59" i="26"/>
  <c r="S59" i="26"/>
  <c r="O59" i="26"/>
  <c r="P61" i="26" s="1"/>
  <c r="AC58" i="26"/>
  <c r="AC59" i="26" s="1"/>
  <c r="AC60" i="26" s="1"/>
  <c r="AC61" i="26" s="1"/>
  <c r="AC62" i="26" s="1"/>
  <c r="AC63" i="26" s="1"/>
  <c r="U58" i="26"/>
  <c r="T58" i="26"/>
  <c r="S58" i="26"/>
  <c r="P58" i="26"/>
  <c r="AC57" i="26"/>
  <c r="AC56" i="26"/>
  <c r="R56" i="26"/>
  <c r="P56" i="26"/>
  <c r="P64" i="26" s="1"/>
  <c r="S55" i="26"/>
  <c r="S56" i="26" s="1"/>
  <c r="S57" i="26" s="1"/>
  <c r="R55" i="26"/>
  <c r="R64" i="26" s="1"/>
  <c r="AC54" i="26"/>
  <c r="AC55" i="26" s="1"/>
  <c r="T54" i="26"/>
  <c r="T55" i="26" s="1"/>
  <c r="T56" i="26" s="1"/>
  <c r="T57" i="26" s="1"/>
  <c r="Q54" i="26"/>
  <c r="Q64" i="26" s="1"/>
  <c r="S64" i="26" s="1"/>
  <c r="P46" i="26"/>
  <c r="P44" i="26"/>
  <c r="I42" i="26"/>
  <c r="K42" i="26" s="1"/>
  <c r="AC38" i="26"/>
  <c r="AC39" i="26" s="1"/>
  <c r="AC40" i="26" s="1"/>
  <c r="AC37" i="26"/>
  <c r="J30" i="26"/>
  <c r="J42" i="26" s="1"/>
  <c r="J43" i="26" s="1"/>
  <c r="L24" i="26"/>
  <c r="Q23" i="26"/>
  <c r="Q21" i="26"/>
  <c r="U44" i="25"/>
  <c r="T44" i="25"/>
  <c r="S44" i="25"/>
  <c r="U43" i="25"/>
  <c r="T43" i="25"/>
  <c r="S43" i="25"/>
  <c r="P43" i="25"/>
  <c r="U42" i="25"/>
  <c r="T42" i="25"/>
  <c r="S42" i="25"/>
  <c r="U41" i="25"/>
  <c r="T41" i="25"/>
  <c r="S41" i="25"/>
  <c r="O41" i="25"/>
  <c r="U40" i="25"/>
  <c r="T40" i="25"/>
  <c r="S40" i="25"/>
  <c r="O40" i="25"/>
  <c r="P42" i="25" s="1"/>
  <c r="AC39" i="25"/>
  <c r="AC40" i="25" s="1"/>
  <c r="AC41" i="25" s="1"/>
  <c r="AC42" i="25" s="1"/>
  <c r="AC43" i="25" s="1"/>
  <c r="AC44" i="25" s="1"/>
  <c r="U39" i="25"/>
  <c r="T39" i="25"/>
  <c r="S39" i="25"/>
  <c r="R39" i="25"/>
  <c r="Q38" i="25" s="1"/>
  <c r="P39" i="25"/>
  <c r="AC38" i="25"/>
  <c r="AC37" i="25"/>
  <c r="R37" i="25"/>
  <c r="P37" i="25"/>
  <c r="P45" i="25" s="1"/>
  <c r="S36" i="25"/>
  <c r="S37" i="25" s="1"/>
  <c r="S38" i="25" s="1"/>
  <c r="R36" i="25"/>
  <c r="R45" i="25" s="1"/>
  <c r="AC35" i="25"/>
  <c r="AC36" i="25" s="1"/>
  <c r="T35" i="25"/>
  <c r="U35" i="25" s="1"/>
  <c r="U36" i="25" s="1"/>
  <c r="U37" i="25" s="1"/>
  <c r="U38" i="25" s="1"/>
  <c r="Q35" i="25"/>
  <c r="Q45" i="25" s="1"/>
  <c r="S45" i="25" s="1"/>
  <c r="P30" i="25"/>
  <c r="P28" i="25"/>
  <c r="J26" i="25"/>
  <c r="I26" i="25"/>
  <c r="K26" i="25" s="1"/>
  <c r="AC22" i="25"/>
  <c r="AC23" i="25" s="1"/>
  <c r="AC24" i="25" s="1"/>
  <c r="AC21" i="25"/>
  <c r="L8" i="25"/>
  <c r="Q7" i="25"/>
  <c r="U63" i="24"/>
  <c r="T63" i="24"/>
  <c r="S63" i="24"/>
  <c r="U62" i="24"/>
  <c r="T62" i="24"/>
  <c r="S62" i="24"/>
  <c r="P62" i="24"/>
  <c r="U61" i="24"/>
  <c r="T61" i="24"/>
  <c r="S61" i="24"/>
  <c r="U60" i="24"/>
  <c r="T60" i="24"/>
  <c r="S60" i="24"/>
  <c r="O60" i="24"/>
  <c r="U59" i="24"/>
  <c r="T59" i="24"/>
  <c r="S59" i="24"/>
  <c r="O59" i="24"/>
  <c r="P61" i="24" s="1"/>
  <c r="AC58" i="24"/>
  <c r="AC59" i="24" s="1"/>
  <c r="AC60" i="24" s="1"/>
  <c r="AC61" i="24" s="1"/>
  <c r="AC62" i="24" s="1"/>
  <c r="AC63" i="24" s="1"/>
  <c r="U58" i="24"/>
  <c r="T58" i="24"/>
  <c r="S58" i="24"/>
  <c r="P58" i="24"/>
  <c r="AC57" i="24"/>
  <c r="AC56" i="24"/>
  <c r="S56" i="24"/>
  <c r="S57" i="24" s="1"/>
  <c r="R56" i="24"/>
  <c r="P56" i="24"/>
  <c r="P64" i="24" s="1"/>
  <c r="S55" i="24"/>
  <c r="R55" i="24"/>
  <c r="R64" i="24" s="1"/>
  <c r="AC54" i="24"/>
  <c r="AC55" i="24" s="1"/>
  <c r="T54" i="24"/>
  <c r="U54" i="24" s="1"/>
  <c r="U55" i="24" s="1"/>
  <c r="U56" i="24" s="1"/>
  <c r="U57" i="24" s="1"/>
  <c r="Q54" i="24"/>
  <c r="Q64" i="24" s="1"/>
  <c r="P46" i="24"/>
  <c r="P44" i="24"/>
  <c r="I42" i="24"/>
  <c r="K42" i="24" s="1"/>
  <c r="AC37" i="24"/>
  <c r="AC38" i="24" s="1"/>
  <c r="AC39" i="24" s="1"/>
  <c r="AC40" i="24" s="1"/>
  <c r="J30" i="24"/>
  <c r="J42" i="24" s="1"/>
  <c r="J43" i="24" s="1"/>
  <c r="L24" i="24"/>
  <c r="Q23" i="24"/>
  <c r="Q21" i="24"/>
  <c r="J30" i="23"/>
  <c r="J42" i="23" s="1"/>
  <c r="U63" i="23"/>
  <c r="T63" i="23"/>
  <c r="S63" i="23"/>
  <c r="U62" i="23"/>
  <c r="T62" i="23"/>
  <c r="S62" i="23"/>
  <c r="P62" i="23"/>
  <c r="U61" i="23"/>
  <c r="T61" i="23"/>
  <c r="S61" i="23"/>
  <c r="U60" i="23"/>
  <c r="T60" i="23"/>
  <c r="S60" i="23"/>
  <c r="O60" i="23"/>
  <c r="U59" i="23"/>
  <c r="T59" i="23"/>
  <c r="S59" i="23"/>
  <c r="O59" i="23"/>
  <c r="O64" i="23" s="1"/>
  <c r="AC58" i="23"/>
  <c r="AC59" i="23" s="1"/>
  <c r="AC60" i="23" s="1"/>
  <c r="AC61" i="23" s="1"/>
  <c r="AC62" i="23" s="1"/>
  <c r="AC63" i="23" s="1"/>
  <c r="U58" i="23"/>
  <c r="T58" i="23"/>
  <c r="S58" i="23"/>
  <c r="R58" i="23"/>
  <c r="P58" i="23"/>
  <c r="AC57" i="23"/>
  <c r="Q57" i="23"/>
  <c r="AC56" i="23"/>
  <c r="S56" i="23"/>
  <c r="S57" i="23" s="1"/>
  <c r="R56" i="23"/>
  <c r="P56" i="23"/>
  <c r="P64" i="23" s="1"/>
  <c r="S55" i="23"/>
  <c r="R55" i="23"/>
  <c r="R64" i="23" s="1"/>
  <c r="AC54" i="23"/>
  <c r="AC55" i="23" s="1"/>
  <c r="T54" i="23"/>
  <c r="U54" i="23" s="1"/>
  <c r="U55" i="23" s="1"/>
  <c r="U56" i="23" s="1"/>
  <c r="U57" i="23" s="1"/>
  <c r="Q54" i="23"/>
  <c r="Q64" i="23" s="1"/>
  <c r="P46" i="23"/>
  <c r="P44" i="23"/>
  <c r="I42" i="23"/>
  <c r="K42" i="23" s="1"/>
  <c r="AC37" i="23"/>
  <c r="AC38" i="23" s="1"/>
  <c r="AC39" i="23" s="1"/>
  <c r="AC40" i="23" s="1"/>
  <c r="L24" i="23"/>
  <c r="Q23" i="23"/>
  <c r="Q21" i="23"/>
  <c r="J31" i="22"/>
  <c r="U63" i="22"/>
  <c r="T63" i="22"/>
  <c r="S63" i="22"/>
  <c r="U62" i="22"/>
  <c r="T62" i="22"/>
  <c r="S62" i="22"/>
  <c r="P62" i="22"/>
  <c r="U61" i="22"/>
  <c r="T61" i="22"/>
  <c r="S61" i="22"/>
  <c r="U60" i="22"/>
  <c r="T60" i="22"/>
  <c r="S60" i="22"/>
  <c r="O60" i="22"/>
  <c r="U59" i="22"/>
  <c r="T59" i="22"/>
  <c r="S59" i="22"/>
  <c r="O59" i="22"/>
  <c r="AC58" i="22"/>
  <c r="AC59" i="22" s="1"/>
  <c r="AC60" i="22" s="1"/>
  <c r="AC61" i="22" s="1"/>
  <c r="AC62" i="22" s="1"/>
  <c r="AC63" i="22" s="1"/>
  <c r="U58" i="22"/>
  <c r="T58" i="22"/>
  <c r="S58" i="22"/>
  <c r="P58" i="22"/>
  <c r="AC57" i="22"/>
  <c r="S57" i="22"/>
  <c r="AC56" i="22"/>
  <c r="S56" i="22"/>
  <c r="AC55" i="22"/>
  <c r="S55" i="22"/>
  <c r="R55" i="22"/>
  <c r="R64" i="22" s="1"/>
  <c r="AC54" i="22"/>
  <c r="T54" i="22"/>
  <c r="T55" i="22" s="1"/>
  <c r="T56" i="22" s="1"/>
  <c r="T57" i="22" s="1"/>
  <c r="Q54" i="22"/>
  <c r="Q64" i="22" s="1"/>
  <c r="S64" i="22" s="1"/>
  <c r="P46" i="22"/>
  <c r="P44" i="22"/>
  <c r="I42" i="22"/>
  <c r="K42" i="22" s="1"/>
  <c r="AC38" i="22"/>
  <c r="AC39" i="22" s="1"/>
  <c r="AC40" i="22" s="1"/>
  <c r="AC37" i="22"/>
  <c r="J42" i="22"/>
  <c r="J43" i="22" s="1"/>
  <c r="L24" i="22"/>
  <c r="Q23" i="22"/>
  <c r="Q21" i="22"/>
  <c r="U63" i="21"/>
  <c r="T63" i="21"/>
  <c r="S63" i="21"/>
  <c r="U62" i="21"/>
  <c r="T62" i="21"/>
  <c r="S62" i="21"/>
  <c r="U61" i="21"/>
  <c r="T61" i="21"/>
  <c r="S61" i="21"/>
  <c r="U60" i="21"/>
  <c r="T60" i="21"/>
  <c r="S60" i="21"/>
  <c r="O60" i="21"/>
  <c r="P62" i="21" s="1"/>
  <c r="U59" i="21"/>
  <c r="T59" i="21"/>
  <c r="S59" i="21"/>
  <c r="O59" i="21"/>
  <c r="P63" i="21" s="1"/>
  <c r="AC58" i="21"/>
  <c r="AC59" i="21" s="1"/>
  <c r="AC60" i="21" s="1"/>
  <c r="AC61" i="21" s="1"/>
  <c r="AC62" i="21" s="1"/>
  <c r="AC63" i="21" s="1"/>
  <c r="U58" i="21"/>
  <c r="T58" i="21"/>
  <c r="S58" i="21"/>
  <c r="P58" i="21"/>
  <c r="AC57" i="21"/>
  <c r="AC56" i="21"/>
  <c r="S56" i="21"/>
  <c r="S57" i="21" s="1"/>
  <c r="R56" i="21"/>
  <c r="P56" i="21"/>
  <c r="P64" i="21" s="1"/>
  <c r="S55" i="21"/>
  <c r="R55" i="21"/>
  <c r="R64" i="21" s="1"/>
  <c r="AC54" i="21"/>
  <c r="AC55" i="21" s="1"/>
  <c r="T54" i="21"/>
  <c r="T55" i="21" s="1"/>
  <c r="T56" i="21" s="1"/>
  <c r="T57" i="21" s="1"/>
  <c r="Q54" i="21"/>
  <c r="Q64" i="21" s="1"/>
  <c r="S64" i="21" s="1"/>
  <c r="P46" i="21"/>
  <c r="P44" i="21"/>
  <c r="I42" i="21"/>
  <c r="K42" i="21" s="1"/>
  <c r="AC37" i="21"/>
  <c r="AC38" i="21" s="1"/>
  <c r="AC39" i="21" s="1"/>
  <c r="AC40" i="21" s="1"/>
  <c r="J30" i="21"/>
  <c r="J42" i="21" s="1"/>
  <c r="J43" i="21" s="1"/>
  <c r="L24" i="21"/>
  <c r="Q23" i="21"/>
  <c r="Q21" i="21"/>
  <c r="O64" i="20"/>
  <c r="U63" i="20"/>
  <c r="T63" i="20"/>
  <c r="S63" i="20"/>
  <c r="U62" i="20"/>
  <c r="T62" i="20"/>
  <c r="S62" i="20"/>
  <c r="P62" i="20"/>
  <c r="U61" i="20"/>
  <c r="T61" i="20"/>
  <c r="S61" i="20"/>
  <c r="U60" i="20"/>
  <c r="T60" i="20"/>
  <c r="S60" i="20"/>
  <c r="O60" i="20"/>
  <c r="U59" i="20"/>
  <c r="T59" i="20"/>
  <c r="S59" i="20"/>
  <c r="O59" i="20"/>
  <c r="P61" i="20" s="1"/>
  <c r="AC58" i="20"/>
  <c r="AC59" i="20" s="1"/>
  <c r="AC60" i="20" s="1"/>
  <c r="AC61" i="20" s="1"/>
  <c r="AC62" i="20" s="1"/>
  <c r="AC63" i="20" s="1"/>
  <c r="U58" i="20"/>
  <c r="T58" i="20"/>
  <c r="S58" i="20"/>
  <c r="P58" i="20"/>
  <c r="AC57" i="20"/>
  <c r="AC56" i="20"/>
  <c r="R56" i="20"/>
  <c r="P56" i="20"/>
  <c r="P64" i="20" s="1"/>
  <c r="S55" i="20"/>
  <c r="S56" i="20" s="1"/>
  <c r="S57" i="20" s="1"/>
  <c r="R55" i="20"/>
  <c r="R64" i="20" s="1"/>
  <c r="AC54" i="20"/>
  <c r="AC55" i="20" s="1"/>
  <c r="T54" i="20"/>
  <c r="U54" i="20" s="1"/>
  <c r="U55" i="20" s="1"/>
  <c r="U56" i="20" s="1"/>
  <c r="U57" i="20" s="1"/>
  <c r="Q54" i="20"/>
  <c r="Q64" i="20" s="1"/>
  <c r="P46" i="20"/>
  <c r="P44" i="20"/>
  <c r="AC37" i="20"/>
  <c r="AC38" i="20" s="1"/>
  <c r="AC39" i="20" s="1"/>
  <c r="AC40" i="20" s="1"/>
  <c r="J30" i="20"/>
  <c r="J42" i="20" s="1"/>
  <c r="I42" i="20"/>
  <c r="K42" i="20" s="1"/>
  <c r="L24" i="20"/>
  <c r="Q23" i="20"/>
  <c r="Q21" i="20"/>
  <c r="AC41" i="29" l="1"/>
  <c r="AC42" i="29"/>
  <c r="AC43" i="29" s="1"/>
  <c r="P61" i="29"/>
  <c r="O64" i="29"/>
  <c r="N64" i="29" s="1"/>
  <c r="R58" i="29"/>
  <c r="Q57" i="29" s="1"/>
  <c r="U54" i="29"/>
  <c r="U55" i="29" s="1"/>
  <c r="U56" i="29" s="1"/>
  <c r="U57" i="29" s="1"/>
  <c r="J26" i="28"/>
  <c r="J27" i="28"/>
  <c r="AC26" i="28"/>
  <c r="AC27" i="28" s="1"/>
  <c r="AC25" i="28"/>
  <c r="P43" i="28"/>
  <c r="R37" i="28"/>
  <c r="P37" i="28" s="1"/>
  <c r="P45" i="28" s="1"/>
  <c r="N45" i="28" s="1"/>
  <c r="R39" i="28"/>
  <c r="Q38" i="28" s="1"/>
  <c r="J43" i="27"/>
  <c r="AC41" i="27"/>
  <c r="AC42" i="27"/>
  <c r="AC43" i="27" s="1"/>
  <c r="U54" i="27"/>
  <c r="U55" i="27" s="1"/>
  <c r="U56" i="27" s="1"/>
  <c r="U57" i="27" s="1"/>
  <c r="P61" i="27"/>
  <c r="O64" i="27"/>
  <c r="N64" i="27" s="1"/>
  <c r="R58" i="27"/>
  <c r="Q57" i="27" s="1"/>
  <c r="AC41" i="26"/>
  <c r="AC42" i="26"/>
  <c r="AC43" i="26" s="1"/>
  <c r="R58" i="26"/>
  <c r="Q57" i="26" s="1"/>
  <c r="U54" i="26"/>
  <c r="U55" i="26" s="1"/>
  <c r="U56" i="26" s="1"/>
  <c r="U57" i="26" s="1"/>
  <c r="O64" i="26"/>
  <c r="N64" i="26" s="1"/>
  <c r="P63" i="26"/>
  <c r="J27" i="25"/>
  <c r="AC25" i="25"/>
  <c r="AC26" i="25"/>
  <c r="AC27" i="25" s="1"/>
  <c r="T36" i="25"/>
  <c r="T37" i="25" s="1"/>
  <c r="T38" i="25" s="1"/>
  <c r="P44" i="25"/>
  <c r="O45" i="25"/>
  <c r="N45" i="25" s="1"/>
  <c r="AC41" i="24"/>
  <c r="AC42" i="24"/>
  <c r="AC43" i="24" s="1"/>
  <c r="S64" i="24"/>
  <c r="O64" i="24"/>
  <c r="N64" i="24" s="1"/>
  <c r="R58" i="24"/>
  <c r="Q57" i="24" s="1"/>
  <c r="T55" i="24"/>
  <c r="T56" i="24" s="1"/>
  <c r="T57" i="24" s="1"/>
  <c r="P63" i="24"/>
  <c r="J43" i="23"/>
  <c r="S64" i="23"/>
  <c r="N64" i="23"/>
  <c r="AC41" i="23"/>
  <c r="AC42" i="23"/>
  <c r="AC43" i="23" s="1"/>
  <c r="P61" i="23"/>
  <c r="T55" i="23"/>
  <c r="T56" i="23" s="1"/>
  <c r="T57" i="23" s="1"/>
  <c r="P63" i="23"/>
  <c r="AC41" i="22"/>
  <c r="AC42" i="22"/>
  <c r="AC43" i="22" s="1"/>
  <c r="R56" i="22"/>
  <c r="P56" i="22" s="1"/>
  <c r="P64" i="22" s="1"/>
  <c r="O64" i="22"/>
  <c r="N64" i="22" s="1"/>
  <c r="R58" i="22"/>
  <c r="Q57" i="22" s="1"/>
  <c r="U54" i="22"/>
  <c r="U55" i="22" s="1"/>
  <c r="U56" i="22" s="1"/>
  <c r="U57" i="22" s="1"/>
  <c r="P61" i="22"/>
  <c r="AC41" i="21"/>
  <c r="AC42" i="21"/>
  <c r="AC43" i="21" s="1"/>
  <c r="U54" i="21"/>
  <c r="U55" i="21" s="1"/>
  <c r="U56" i="21" s="1"/>
  <c r="U57" i="21" s="1"/>
  <c r="P61" i="21"/>
  <c r="O64" i="21"/>
  <c r="N64" i="21" s="1"/>
  <c r="R58" i="21"/>
  <c r="Q57" i="21" s="1"/>
  <c r="AC41" i="20"/>
  <c r="AC42" i="20"/>
  <c r="AC43" i="20" s="1"/>
  <c r="J43" i="20"/>
  <c r="S64" i="20"/>
  <c r="N64" i="20"/>
  <c r="R58" i="20"/>
  <c r="Q57" i="20" s="1"/>
  <c r="T55" i="20"/>
  <c r="T56" i="20" s="1"/>
  <c r="T57" i="20" s="1"/>
  <c r="P63" i="20"/>
  <c r="P44" i="28" l="1"/>
  <c r="P63" i="22"/>
  <c r="Q45" i="19" l="1"/>
  <c r="O45" i="19"/>
  <c r="U44" i="19"/>
  <c r="T44" i="19"/>
  <c r="S44" i="19"/>
  <c r="U43" i="19"/>
  <c r="T43" i="19"/>
  <c r="S43" i="19"/>
  <c r="U42" i="19"/>
  <c r="T42" i="19"/>
  <c r="S42" i="19"/>
  <c r="P42" i="19"/>
  <c r="U41" i="19"/>
  <c r="T41" i="19"/>
  <c r="S41" i="19"/>
  <c r="O41" i="19"/>
  <c r="P43" i="19" s="1"/>
  <c r="U40" i="19"/>
  <c r="T40" i="19"/>
  <c r="S40" i="19"/>
  <c r="O40" i="19"/>
  <c r="U39" i="19"/>
  <c r="T39" i="19"/>
  <c r="S39" i="19"/>
  <c r="R39" i="19"/>
  <c r="Q38" i="19" s="1"/>
  <c r="P39" i="19"/>
  <c r="AC38" i="19"/>
  <c r="AC37" i="19"/>
  <c r="AC39" i="19" s="1"/>
  <c r="AC40" i="19" s="1"/>
  <c r="AC41" i="19" s="1"/>
  <c r="AC42" i="19" s="1"/>
  <c r="AC43" i="19" s="1"/>
  <c r="AC44" i="19" s="1"/>
  <c r="U37" i="19"/>
  <c r="U38" i="19" s="1"/>
  <c r="T37" i="19"/>
  <c r="T38" i="19" s="1"/>
  <c r="U36" i="19"/>
  <c r="T36" i="19"/>
  <c r="S36" i="19"/>
  <c r="S37" i="19" s="1"/>
  <c r="S38" i="19" s="1"/>
  <c r="R36" i="19"/>
  <c r="R37" i="19" s="1"/>
  <c r="P37" i="19" s="1"/>
  <c r="AC35" i="19"/>
  <c r="AC36" i="19" s="1"/>
  <c r="U35" i="19"/>
  <c r="T35" i="19"/>
  <c r="Q35" i="19"/>
  <c r="P28" i="19"/>
  <c r="P30" i="19" s="1"/>
  <c r="J26" i="19"/>
  <c r="I26" i="19"/>
  <c r="K26" i="19" s="1"/>
  <c r="AC22" i="19"/>
  <c r="AC23" i="19" s="1"/>
  <c r="AC24" i="19" s="1"/>
  <c r="AC21" i="19"/>
  <c r="L8" i="19"/>
  <c r="Q7" i="19"/>
  <c r="J27" i="19" l="1"/>
  <c r="P44" i="19"/>
  <c r="P45" i="19"/>
  <c r="N45" i="19" s="1"/>
  <c r="AC26" i="19"/>
  <c r="AC27" i="19" s="1"/>
  <c r="AC25" i="19"/>
  <c r="R45" i="19"/>
  <c r="S45" i="19" s="1"/>
  <c r="U44" i="18" l="1"/>
  <c r="T44" i="18"/>
  <c r="S44" i="18"/>
  <c r="U43" i="18"/>
  <c r="T43" i="18"/>
  <c r="S43" i="18"/>
  <c r="P43" i="18"/>
  <c r="U42" i="18"/>
  <c r="T42" i="18"/>
  <c r="S42" i="18"/>
  <c r="U41" i="18"/>
  <c r="T41" i="18"/>
  <c r="S41" i="18"/>
  <c r="O41" i="18"/>
  <c r="U40" i="18"/>
  <c r="T40" i="18"/>
  <c r="S40" i="18"/>
  <c r="O40" i="18"/>
  <c r="AC39" i="18"/>
  <c r="AC40" i="18" s="1"/>
  <c r="AC41" i="18" s="1"/>
  <c r="AC42" i="18" s="1"/>
  <c r="AC43" i="18" s="1"/>
  <c r="AC44" i="18" s="1"/>
  <c r="U39" i="18"/>
  <c r="T39" i="18"/>
  <c r="S39" i="18"/>
  <c r="P39" i="18"/>
  <c r="AC38" i="18"/>
  <c r="S38" i="18"/>
  <c r="AC37" i="18"/>
  <c r="S37" i="18"/>
  <c r="AC36" i="18"/>
  <c r="S36" i="18"/>
  <c r="R36" i="18"/>
  <c r="R45" i="18" s="1"/>
  <c r="AC35" i="18"/>
  <c r="T35" i="18"/>
  <c r="T36" i="18" s="1"/>
  <c r="T37" i="18" s="1"/>
  <c r="T38" i="18" s="1"/>
  <c r="Q35" i="18"/>
  <c r="Q45" i="18" s="1"/>
  <c r="S45" i="18" s="1"/>
  <c r="P30" i="18"/>
  <c r="P28" i="18"/>
  <c r="I26" i="18"/>
  <c r="K26" i="18" s="1"/>
  <c r="AC21" i="18"/>
  <c r="AC22" i="18" s="1"/>
  <c r="AC23" i="18" s="1"/>
  <c r="AC24" i="18" s="1"/>
  <c r="J26" i="18"/>
  <c r="J27" i="18" s="1"/>
  <c r="L8" i="18"/>
  <c r="Q7" i="18"/>
  <c r="Q64" i="17"/>
  <c r="U63" i="17"/>
  <c r="T63" i="17"/>
  <c r="S63" i="17"/>
  <c r="P63" i="17"/>
  <c r="U62" i="17"/>
  <c r="T62" i="17"/>
  <c r="S62" i="17"/>
  <c r="P62" i="17"/>
  <c r="U61" i="17"/>
  <c r="T61" i="17"/>
  <c r="S61" i="17"/>
  <c r="U60" i="17"/>
  <c r="T60" i="17"/>
  <c r="S60" i="17"/>
  <c r="O60" i="17"/>
  <c r="U59" i="17"/>
  <c r="T59" i="17"/>
  <c r="S59" i="17"/>
  <c r="O59" i="17"/>
  <c r="O64" i="17" s="1"/>
  <c r="U58" i="17"/>
  <c r="T58" i="17"/>
  <c r="S58" i="17"/>
  <c r="R58" i="17"/>
  <c r="P58" i="17"/>
  <c r="AC57" i="17"/>
  <c r="Q57" i="17"/>
  <c r="AC56" i="17"/>
  <c r="AC58" i="17" s="1"/>
  <c r="AC59" i="17" s="1"/>
  <c r="AC60" i="17" s="1"/>
  <c r="AC61" i="17" s="1"/>
  <c r="AC62" i="17" s="1"/>
  <c r="AC63" i="17" s="1"/>
  <c r="R56" i="17"/>
  <c r="P56" i="17"/>
  <c r="P64" i="17" s="1"/>
  <c r="T55" i="17"/>
  <c r="T56" i="17" s="1"/>
  <c r="T57" i="17" s="1"/>
  <c r="S55" i="17"/>
  <c r="S56" i="17" s="1"/>
  <c r="S57" i="17" s="1"/>
  <c r="R55" i="17"/>
  <c r="R64" i="17" s="1"/>
  <c r="AC54" i="17"/>
  <c r="AC55" i="17" s="1"/>
  <c r="T54" i="17"/>
  <c r="U54" i="17" s="1"/>
  <c r="U55" i="17" s="1"/>
  <c r="U56" i="17" s="1"/>
  <c r="U57" i="17" s="1"/>
  <c r="Q54" i="17"/>
  <c r="P44" i="17"/>
  <c r="P46" i="17" s="1"/>
  <c r="J42" i="17"/>
  <c r="AC38" i="17"/>
  <c r="AC39" i="17" s="1"/>
  <c r="AC40" i="17" s="1"/>
  <c r="AC37" i="17"/>
  <c r="J30" i="17"/>
  <c r="I29" i="17"/>
  <c r="I42" i="17" s="1"/>
  <c r="K42" i="17" s="1"/>
  <c r="L24" i="17"/>
  <c r="Q23" i="17"/>
  <c r="Q21" i="17"/>
  <c r="I29" i="16"/>
  <c r="I42" i="16" s="1"/>
  <c r="K42" i="16" s="1"/>
  <c r="J30" i="16"/>
  <c r="Q64" i="16"/>
  <c r="S64" i="16" s="1"/>
  <c r="O64" i="16"/>
  <c r="U63" i="16"/>
  <c r="T63" i="16"/>
  <c r="S63" i="16"/>
  <c r="U62" i="16"/>
  <c r="T62" i="16"/>
  <c r="S62" i="16"/>
  <c r="U61" i="16"/>
  <c r="T61" i="16"/>
  <c r="S61" i="16"/>
  <c r="U60" i="16"/>
  <c r="T60" i="16"/>
  <c r="S60" i="16"/>
  <c r="O60" i="16"/>
  <c r="P62" i="16" s="1"/>
  <c r="U59" i="16"/>
  <c r="T59" i="16"/>
  <c r="S59" i="16"/>
  <c r="O59" i="16"/>
  <c r="U58" i="16"/>
  <c r="T58" i="16"/>
  <c r="S58" i="16"/>
  <c r="R58" i="16"/>
  <c r="Q57" i="16" s="1"/>
  <c r="P58" i="16"/>
  <c r="AC57" i="16"/>
  <c r="AC56" i="16"/>
  <c r="AC58" i="16" s="1"/>
  <c r="AC59" i="16" s="1"/>
  <c r="AC60" i="16" s="1"/>
  <c r="AC61" i="16" s="1"/>
  <c r="AC62" i="16" s="1"/>
  <c r="AC63" i="16" s="1"/>
  <c r="T56" i="16"/>
  <c r="T57" i="16" s="1"/>
  <c r="S56" i="16"/>
  <c r="S57" i="16" s="1"/>
  <c r="R56" i="16"/>
  <c r="P56" i="16" s="1"/>
  <c r="P64" i="16" s="1"/>
  <c r="T55" i="16"/>
  <c r="S55" i="16"/>
  <c r="R55" i="16"/>
  <c r="R64" i="16" s="1"/>
  <c r="AC54" i="16"/>
  <c r="AC55" i="16" s="1"/>
  <c r="U54" i="16"/>
  <c r="U55" i="16" s="1"/>
  <c r="U56" i="16" s="1"/>
  <c r="U57" i="16" s="1"/>
  <c r="T54" i="16"/>
  <c r="Q54" i="16"/>
  <c r="P44" i="16"/>
  <c r="P46" i="16" s="1"/>
  <c r="J42" i="16"/>
  <c r="AC37" i="16"/>
  <c r="AC38" i="16" s="1"/>
  <c r="AC39" i="16" s="1"/>
  <c r="AC40" i="16" s="1"/>
  <c r="L24" i="16"/>
  <c r="Q23" i="16"/>
  <c r="Q21" i="16"/>
  <c r="AC25" i="18" l="1"/>
  <c r="AC26" i="18"/>
  <c r="AC27" i="18" s="1"/>
  <c r="P44" i="18"/>
  <c r="R37" i="18"/>
  <c r="P37" i="18" s="1"/>
  <c r="P45" i="18" s="1"/>
  <c r="O45" i="18"/>
  <c r="N45" i="18" s="1"/>
  <c r="R39" i="18"/>
  <c r="Q38" i="18" s="1"/>
  <c r="U35" i="18"/>
  <c r="U36" i="18" s="1"/>
  <c r="U37" i="18" s="1"/>
  <c r="U38" i="18" s="1"/>
  <c r="P42" i="18"/>
  <c r="AC41" i="17"/>
  <c r="AC42" i="17"/>
  <c r="AC43" i="17" s="1"/>
  <c r="J43" i="17"/>
  <c r="N64" i="17"/>
  <c r="S64" i="17"/>
  <c r="P61" i="17"/>
  <c r="J43" i="16"/>
  <c r="N64" i="16"/>
  <c r="P63" i="16"/>
  <c r="AC41" i="16"/>
  <c r="AC42" i="16"/>
  <c r="AC43" i="16" s="1"/>
  <c r="P61" i="16"/>
  <c r="U44" i="15"/>
  <c r="T44" i="15"/>
  <c r="S44" i="15"/>
  <c r="U43" i="15"/>
  <c r="T43" i="15"/>
  <c r="S43" i="15"/>
  <c r="U42" i="15"/>
  <c r="T42" i="15"/>
  <c r="S42" i="15"/>
  <c r="U41" i="15"/>
  <c r="T41" i="15"/>
  <c r="S41" i="15"/>
  <c r="O41" i="15"/>
  <c r="P43" i="15" s="1"/>
  <c r="U40" i="15"/>
  <c r="T40" i="15"/>
  <c r="S40" i="15"/>
  <c r="O40" i="15"/>
  <c r="U39" i="15"/>
  <c r="T39" i="15"/>
  <c r="S39" i="15"/>
  <c r="P39" i="15"/>
  <c r="AC38" i="15"/>
  <c r="AC37" i="15"/>
  <c r="AC39" i="15" s="1"/>
  <c r="AC40" i="15" s="1"/>
  <c r="AC41" i="15" s="1"/>
  <c r="AC42" i="15" s="1"/>
  <c r="AC43" i="15" s="1"/>
  <c r="AC44" i="15" s="1"/>
  <c r="S36" i="15"/>
  <c r="S37" i="15" s="1"/>
  <c r="S38" i="15" s="1"/>
  <c r="R36" i="15"/>
  <c r="R45" i="15" s="1"/>
  <c r="AC35" i="15"/>
  <c r="AC36" i="15" s="1"/>
  <c r="T35" i="15"/>
  <c r="T36" i="15" s="1"/>
  <c r="T37" i="15" s="1"/>
  <c r="T38" i="15" s="1"/>
  <c r="Q35" i="15"/>
  <c r="R37" i="15" s="1"/>
  <c r="P37" i="15" s="1"/>
  <c r="P45" i="15" s="1"/>
  <c r="P28" i="15"/>
  <c r="P30" i="15" s="1"/>
  <c r="AC21" i="15"/>
  <c r="AC22" i="15" s="1"/>
  <c r="AC23" i="15" s="1"/>
  <c r="AC24" i="15" s="1"/>
  <c r="I13" i="15"/>
  <c r="I26" i="15" s="1"/>
  <c r="K26" i="15" s="1"/>
  <c r="L8" i="15"/>
  <c r="Q7" i="15"/>
  <c r="Q45" i="15" l="1"/>
  <c r="R39" i="15"/>
  <c r="Q38" i="15" s="1"/>
  <c r="P44" i="15"/>
  <c r="AC25" i="15"/>
  <c r="AC26" i="15"/>
  <c r="AC27" i="15" s="1"/>
  <c r="S45" i="15"/>
  <c r="J14" i="15"/>
  <c r="J26" i="15" s="1"/>
  <c r="J27" i="15" s="1"/>
  <c r="U35" i="15"/>
  <c r="U36" i="15" s="1"/>
  <c r="U37" i="15" s="1"/>
  <c r="U38" i="15" s="1"/>
  <c r="O45" i="15"/>
  <c r="N45" i="15" s="1"/>
  <c r="P42" i="15"/>
  <c r="J39" i="14"/>
  <c r="R64" i="14" l="1"/>
  <c r="U63" i="14"/>
  <c r="T63" i="14"/>
  <c r="S63" i="14"/>
  <c r="U62" i="14"/>
  <c r="T62" i="14"/>
  <c r="S62" i="14"/>
  <c r="U61" i="14"/>
  <c r="T61" i="14"/>
  <c r="S61" i="14"/>
  <c r="U60" i="14"/>
  <c r="T60" i="14"/>
  <c r="S60" i="14"/>
  <c r="O60" i="14"/>
  <c r="P62" i="14" s="1"/>
  <c r="U59" i="14"/>
  <c r="T59" i="14"/>
  <c r="S59" i="14"/>
  <c r="O59" i="14"/>
  <c r="AC58" i="14"/>
  <c r="AC59" i="14" s="1"/>
  <c r="AC60" i="14" s="1"/>
  <c r="AC61" i="14" s="1"/>
  <c r="AC62" i="14" s="1"/>
  <c r="AC63" i="14" s="1"/>
  <c r="U58" i="14"/>
  <c r="T58" i="14"/>
  <c r="S58" i="14"/>
  <c r="P58" i="14"/>
  <c r="AC57" i="14"/>
  <c r="AC56" i="14"/>
  <c r="AC55" i="14"/>
  <c r="S55" i="14"/>
  <c r="S56" i="14" s="1"/>
  <c r="S57" i="14" s="1"/>
  <c r="R55" i="14"/>
  <c r="AC54" i="14"/>
  <c r="T54" i="14"/>
  <c r="T55" i="14" s="1"/>
  <c r="T56" i="14" s="1"/>
  <c r="T57" i="14" s="1"/>
  <c r="Q54" i="14"/>
  <c r="Q64" i="14" s="1"/>
  <c r="S64" i="14" s="1"/>
  <c r="P46" i="14"/>
  <c r="P44" i="14"/>
  <c r="J42" i="14"/>
  <c r="I42" i="14"/>
  <c r="K42" i="14" s="1"/>
  <c r="AC39" i="14"/>
  <c r="AC40" i="14" s="1"/>
  <c r="AC38" i="14"/>
  <c r="AC37" i="14"/>
  <c r="L24" i="14"/>
  <c r="Q23" i="14"/>
  <c r="Q21" i="14"/>
  <c r="J30" i="13"/>
  <c r="J42" i="13" s="1"/>
  <c r="R64" i="13"/>
  <c r="U63" i="13"/>
  <c r="T63" i="13"/>
  <c r="S63" i="13"/>
  <c r="U62" i="13"/>
  <c r="T62" i="13"/>
  <c r="S62" i="13"/>
  <c r="U61" i="13"/>
  <c r="T61" i="13"/>
  <c r="S61" i="13"/>
  <c r="U60" i="13"/>
  <c r="T60" i="13"/>
  <c r="S60" i="13"/>
  <c r="O60" i="13"/>
  <c r="U59" i="13"/>
  <c r="T59" i="13"/>
  <c r="S59" i="13"/>
  <c r="O59" i="13"/>
  <c r="O64" i="13" s="1"/>
  <c r="U58" i="13"/>
  <c r="T58" i="13"/>
  <c r="S58" i="13"/>
  <c r="P58" i="13"/>
  <c r="AC57" i="13"/>
  <c r="S57" i="13"/>
  <c r="AC56" i="13"/>
  <c r="AC58" i="13" s="1"/>
  <c r="AC59" i="13" s="1"/>
  <c r="AC60" i="13" s="1"/>
  <c r="AC61" i="13" s="1"/>
  <c r="AC62" i="13" s="1"/>
  <c r="AC63" i="13" s="1"/>
  <c r="S56" i="13"/>
  <c r="AC55" i="13"/>
  <c r="U55" i="13"/>
  <c r="U56" i="13" s="1"/>
  <c r="U57" i="13" s="1"/>
  <c r="T55" i="13"/>
  <c r="T56" i="13" s="1"/>
  <c r="T57" i="13" s="1"/>
  <c r="S55" i="13"/>
  <c r="R55" i="13"/>
  <c r="AC54" i="13"/>
  <c r="U54" i="13"/>
  <c r="T54" i="13"/>
  <c r="Q54" i="13"/>
  <c r="Q64" i="13" s="1"/>
  <c r="S64" i="13" s="1"/>
  <c r="P46" i="13"/>
  <c r="P44" i="13"/>
  <c r="I42" i="13"/>
  <c r="K42" i="13" s="1"/>
  <c r="AC37" i="13"/>
  <c r="AC38" i="13" s="1"/>
  <c r="AC39" i="13" s="1"/>
  <c r="AC40" i="13" s="1"/>
  <c r="L24" i="13"/>
  <c r="Q23" i="13"/>
  <c r="Q21" i="13"/>
  <c r="I29" i="11"/>
  <c r="R64" i="12"/>
  <c r="Q64" i="12"/>
  <c r="S64" i="12" s="1"/>
  <c r="U63" i="12"/>
  <c r="T63" i="12"/>
  <c r="S63" i="12"/>
  <c r="U62" i="12"/>
  <c r="T62" i="12"/>
  <c r="S62" i="12"/>
  <c r="U61" i="12"/>
  <c r="T61" i="12"/>
  <c r="S61" i="12"/>
  <c r="U60" i="12"/>
  <c r="T60" i="12"/>
  <c r="S60" i="12"/>
  <c r="O60" i="12"/>
  <c r="P62" i="12" s="1"/>
  <c r="U59" i="12"/>
  <c r="T59" i="12"/>
  <c r="S59" i="12"/>
  <c r="O59" i="12"/>
  <c r="U58" i="12"/>
  <c r="T58" i="12"/>
  <c r="S58" i="12"/>
  <c r="P58" i="12"/>
  <c r="AC57" i="12"/>
  <c r="AC56" i="12"/>
  <c r="AC58" i="12" s="1"/>
  <c r="AC59" i="12" s="1"/>
  <c r="AC60" i="12" s="1"/>
  <c r="AC61" i="12" s="1"/>
  <c r="AC62" i="12" s="1"/>
  <c r="AC63" i="12" s="1"/>
  <c r="S56" i="12"/>
  <c r="S57" i="12" s="1"/>
  <c r="R56" i="12"/>
  <c r="P56" i="12" s="1"/>
  <c r="P64" i="12" s="1"/>
  <c r="T55" i="12"/>
  <c r="T56" i="12" s="1"/>
  <c r="T57" i="12" s="1"/>
  <c r="S55" i="12"/>
  <c r="R55" i="12"/>
  <c r="AC54" i="12"/>
  <c r="AC55" i="12" s="1"/>
  <c r="U54" i="12"/>
  <c r="U55" i="12" s="1"/>
  <c r="U56" i="12" s="1"/>
  <c r="U57" i="12" s="1"/>
  <c r="T54" i="12"/>
  <c r="Q54" i="12"/>
  <c r="R58" i="12" s="1"/>
  <c r="Q57" i="12" s="1"/>
  <c r="P44" i="12"/>
  <c r="P46" i="12" s="1"/>
  <c r="AC37" i="12"/>
  <c r="AC38" i="12" s="1"/>
  <c r="AC39" i="12" s="1"/>
  <c r="AC40" i="12" s="1"/>
  <c r="J42" i="12"/>
  <c r="I42" i="12"/>
  <c r="K42" i="12" s="1"/>
  <c r="L24" i="12"/>
  <c r="Q23" i="12"/>
  <c r="Q21" i="12"/>
  <c r="J43" i="14" l="1"/>
  <c r="P63" i="14"/>
  <c r="AC41" i="14"/>
  <c r="AC42" i="14"/>
  <c r="AC43" i="14" s="1"/>
  <c r="U54" i="14"/>
  <c r="U55" i="14" s="1"/>
  <c r="U56" i="14" s="1"/>
  <c r="U57" i="14" s="1"/>
  <c r="R56" i="14"/>
  <c r="P56" i="14" s="1"/>
  <c r="P64" i="14" s="1"/>
  <c r="P61" i="14"/>
  <c r="O64" i="14"/>
  <c r="R58" i="14"/>
  <c r="Q57" i="14" s="1"/>
  <c r="J43" i="13"/>
  <c r="N64" i="13"/>
  <c r="P63" i="13"/>
  <c r="AC41" i="13"/>
  <c r="AC42" i="13"/>
  <c r="AC43" i="13" s="1"/>
  <c r="P62" i="13"/>
  <c r="P61" i="13"/>
  <c r="R56" i="13"/>
  <c r="P56" i="13" s="1"/>
  <c r="P64" i="13" s="1"/>
  <c r="R58" i="13"/>
  <c r="Q57" i="13" s="1"/>
  <c r="AC41" i="12"/>
  <c r="AC42" i="12"/>
  <c r="AC43" i="12" s="1"/>
  <c r="P63" i="12"/>
  <c r="J43" i="12"/>
  <c r="P61" i="12"/>
  <c r="O64" i="12"/>
  <c r="N64" i="12" s="1"/>
  <c r="R64" i="11"/>
  <c r="U63" i="11"/>
  <c r="T63" i="11"/>
  <c r="S63" i="11"/>
  <c r="U62" i="11"/>
  <c r="T62" i="11"/>
  <c r="S62" i="11"/>
  <c r="U61" i="11"/>
  <c r="T61" i="11"/>
  <c r="S61" i="11"/>
  <c r="U60" i="11"/>
  <c r="T60" i="11"/>
  <c r="S60" i="11"/>
  <c r="O60" i="11"/>
  <c r="U59" i="11"/>
  <c r="T59" i="11"/>
  <c r="S59" i="11"/>
  <c r="O59" i="11"/>
  <c r="O64" i="11" s="1"/>
  <c r="U58" i="11"/>
  <c r="T58" i="11"/>
  <c r="S58" i="11"/>
  <c r="R58" i="11"/>
  <c r="Q57" i="11" s="1"/>
  <c r="P58" i="11"/>
  <c r="AC57" i="11"/>
  <c r="AC56" i="11"/>
  <c r="AC58" i="11" s="1"/>
  <c r="AC59" i="11" s="1"/>
  <c r="AC60" i="11" s="1"/>
  <c r="AC61" i="11" s="1"/>
  <c r="AC62" i="11" s="1"/>
  <c r="AC63" i="11" s="1"/>
  <c r="AC55" i="11"/>
  <c r="T55" i="11"/>
  <c r="T56" i="11" s="1"/>
  <c r="T57" i="11" s="1"/>
  <c r="S55" i="11"/>
  <c r="S56" i="11" s="1"/>
  <c r="S57" i="11" s="1"/>
  <c r="R55" i="11"/>
  <c r="AC54" i="11"/>
  <c r="T54" i="11"/>
  <c r="U54" i="11" s="1"/>
  <c r="U55" i="11" s="1"/>
  <c r="U56" i="11" s="1"/>
  <c r="U57" i="11" s="1"/>
  <c r="Q54" i="11"/>
  <c r="Q64" i="11" s="1"/>
  <c r="S64" i="11" s="1"/>
  <c r="P44" i="11"/>
  <c r="P46" i="11" s="1"/>
  <c r="I42" i="11"/>
  <c r="K42" i="11" s="1"/>
  <c r="AC37" i="11"/>
  <c r="AC38" i="11" s="1"/>
  <c r="AC39" i="11" s="1"/>
  <c r="AC40" i="11" s="1"/>
  <c r="J42" i="11"/>
  <c r="L24" i="11"/>
  <c r="Q23" i="11"/>
  <c r="Q21" i="11"/>
  <c r="J37" i="10"/>
  <c r="I36" i="10"/>
  <c r="N64" i="14" l="1"/>
  <c r="J43" i="11"/>
  <c r="N64" i="11"/>
  <c r="P63" i="11"/>
  <c r="AC42" i="11"/>
  <c r="AC43" i="11" s="1"/>
  <c r="AC41" i="11"/>
  <c r="P62" i="11"/>
  <c r="R56" i="11"/>
  <c r="P56" i="11" s="1"/>
  <c r="P64" i="11" s="1"/>
  <c r="P61" i="11"/>
  <c r="R64" i="10" l="1"/>
  <c r="Q64" i="10"/>
  <c r="S64" i="10" s="1"/>
  <c r="U63" i="10"/>
  <c r="T63" i="10"/>
  <c r="S63" i="10"/>
  <c r="U62" i="10"/>
  <c r="T62" i="10"/>
  <c r="S62" i="10"/>
  <c r="U61" i="10"/>
  <c r="T61" i="10"/>
  <c r="S61" i="10"/>
  <c r="U60" i="10"/>
  <c r="T60" i="10"/>
  <c r="S60" i="10"/>
  <c r="O60" i="10"/>
  <c r="P62" i="10" s="1"/>
  <c r="U59" i="10"/>
  <c r="T59" i="10"/>
  <c r="S59" i="10"/>
  <c r="O59" i="10"/>
  <c r="O64" i="10" s="1"/>
  <c r="U58" i="10"/>
  <c r="T58" i="10"/>
  <c r="S58" i="10"/>
  <c r="P58" i="10"/>
  <c r="AC57" i="10"/>
  <c r="S57" i="10"/>
  <c r="AC56" i="10"/>
  <c r="AC58" i="10" s="1"/>
  <c r="AC59" i="10" s="1"/>
  <c r="AC60" i="10" s="1"/>
  <c r="AC61" i="10" s="1"/>
  <c r="AC62" i="10" s="1"/>
  <c r="AC63" i="10" s="1"/>
  <c r="S56" i="10"/>
  <c r="AC55" i="10"/>
  <c r="T55" i="10"/>
  <c r="T56" i="10" s="1"/>
  <c r="T57" i="10" s="1"/>
  <c r="S55" i="10"/>
  <c r="R55" i="10"/>
  <c r="AC54" i="10"/>
  <c r="T54" i="10"/>
  <c r="U54" i="10" s="1"/>
  <c r="U55" i="10" s="1"/>
  <c r="U56" i="10" s="1"/>
  <c r="U57" i="10" s="1"/>
  <c r="Q54" i="10"/>
  <c r="R58" i="10" s="1"/>
  <c r="Q57" i="10" s="1"/>
  <c r="P44" i="10"/>
  <c r="P46" i="10" s="1"/>
  <c r="I42" i="10"/>
  <c r="K42" i="10" s="1"/>
  <c r="AC37" i="10"/>
  <c r="AC38" i="10" s="1"/>
  <c r="AC39" i="10" s="1"/>
  <c r="AC40" i="10" s="1"/>
  <c r="J42" i="10"/>
  <c r="L24" i="10"/>
  <c r="Q23" i="10"/>
  <c r="Q21" i="10"/>
  <c r="J43" i="10" l="1"/>
  <c r="AC41" i="10"/>
  <c r="AC42" i="10"/>
  <c r="AC43" i="10" s="1"/>
  <c r="R56" i="10"/>
  <c r="P56" i="10" s="1"/>
  <c r="P61" i="10"/>
  <c r="P64" i="10" l="1"/>
  <c r="N64" i="10" s="1"/>
  <c r="P63" i="10"/>
  <c r="U63" i="9" l="1"/>
  <c r="T63" i="9"/>
  <c r="S63" i="9"/>
  <c r="U62" i="9"/>
  <c r="T62" i="9"/>
  <c r="S62" i="9"/>
  <c r="P62" i="9"/>
  <c r="U61" i="9"/>
  <c r="T61" i="9"/>
  <c r="S61" i="9"/>
  <c r="U60" i="9"/>
  <c r="T60" i="9"/>
  <c r="S60" i="9"/>
  <c r="O60" i="9"/>
  <c r="U59" i="9"/>
  <c r="T59" i="9"/>
  <c r="S59" i="9"/>
  <c r="O59" i="9"/>
  <c r="P63" i="9" s="1"/>
  <c r="AC58" i="9"/>
  <c r="AC59" i="9" s="1"/>
  <c r="AC60" i="9" s="1"/>
  <c r="AC61" i="9" s="1"/>
  <c r="AC62" i="9" s="1"/>
  <c r="AC63" i="9" s="1"/>
  <c r="U58" i="9"/>
  <c r="T58" i="9"/>
  <c r="S58" i="9"/>
  <c r="P58" i="9"/>
  <c r="AC57" i="9"/>
  <c r="AC56" i="9"/>
  <c r="S56" i="9"/>
  <c r="S57" i="9" s="1"/>
  <c r="R56" i="9"/>
  <c r="P56" i="9"/>
  <c r="P64" i="9" s="1"/>
  <c r="S55" i="9"/>
  <c r="R55" i="9"/>
  <c r="R64" i="9" s="1"/>
  <c r="AC54" i="9"/>
  <c r="AC55" i="9" s="1"/>
  <c r="T54" i="9"/>
  <c r="T55" i="9" s="1"/>
  <c r="T56" i="9" s="1"/>
  <c r="T57" i="9" s="1"/>
  <c r="Q54" i="9"/>
  <c r="Q64" i="9" s="1"/>
  <c r="S64" i="9" s="1"/>
  <c r="P46" i="9"/>
  <c r="P44" i="9"/>
  <c r="I42" i="9"/>
  <c r="K42" i="9" s="1"/>
  <c r="AC37" i="9"/>
  <c r="AC38" i="9" s="1"/>
  <c r="AC39" i="9" s="1"/>
  <c r="AC40" i="9" s="1"/>
  <c r="J30" i="9"/>
  <c r="J42" i="9" s="1"/>
  <c r="L24" i="9"/>
  <c r="Q23" i="9"/>
  <c r="Q21" i="9"/>
  <c r="J30" i="8"/>
  <c r="U63" i="8"/>
  <c r="T63" i="8"/>
  <c r="S63" i="8"/>
  <c r="U62" i="8"/>
  <c r="T62" i="8"/>
  <c r="S62" i="8"/>
  <c r="P62" i="8"/>
  <c r="U61" i="8"/>
  <c r="T61" i="8"/>
  <c r="S61" i="8"/>
  <c r="U60" i="8"/>
  <c r="T60" i="8"/>
  <c r="S60" i="8"/>
  <c r="O60" i="8"/>
  <c r="U59" i="8"/>
  <c r="T59" i="8"/>
  <c r="S59" i="8"/>
  <c r="O59" i="8"/>
  <c r="P63" i="8" s="1"/>
  <c r="AC58" i="8"/>
  <c r="AC59" i="8" s="1"/>
  <c r="AC60" i="8" s="1"/>
  <c r="AC61" i="8" s="1"/>
  <c r="AC62" i="8" s="1"/>
  <c r="AC63" i="8" s="1"/>
  <c r="U58" i="8"/>
  <c r="T58" i="8"/>
  <c r="S58" i="8"/>
  <c r="P58" i="8"/>
  <c r="AC57" i="8"/>
  <c r="AC56" i="8"/>
  <c r="S56" i="8"/>
  <c r="S57" i="8" s="1"/>
  <c r="R56" i="8"/>
  <c r="P56" i="8"/>
  <c r="P64" i="8" s="1"/>
  <c r="S55" i="8"/>
  <c r="R55" i="8"/>
  <c r="R64" i="8" s="1"/>
  <c r="AC54" i="8"/>
  <c r="AC55" i="8" s="1"/>
  <c r="T54" i="8"/>
  <c r="T55" i="8" s="1"/>
  <c r="T56" i="8" s="1"/>
  <c r="T57" i="8" s="1"/>
  <c r="Q54" i="8"/>
  <c r="Q64" i="8" s="1"/>
  <c r="P46" i="8"/>
  <c r="P44" i="8"/>
  <c r="AC37" i="8"/>
  <c r="AC38" i="8" s="1"/>
  <c r="AC39" i="8" s="1"/>
  <c r="AC40" i="8" s="1"/>
  <c r="I42" i="8"/>
  <c r="K42" i="8" s="1"/>
  <c r="J42" i="8"/>
  <c r="L24" i="8"/>
  <c r="Q23" i="8"/>
  <c r="Q21" i="8"/>
  <c r="I34" i="7"/>
  <c r="J30" i="7"/>
  <c r="J43" i="9" l="1"/>
  <c r="AC41" i="9"/>
  <c r="AC42" i="9"/>
  <c r="AC43" i="9" s="1"/>
  <c r="P61" i="9"/>
  <c r="O64" i="9"/>
  <c r="N64" i="9" s="1"/>
  <c r="R58" i="9"/>
  <c r="Q57" i="9" s="1"/>
  <c r="U54" i="9"/>
  <c r="U55" i="9" s="1"/>
  <c r="U56" i="9" s="1"/>
  <c r="U57" i="9" s="1"/>
  <c r="AC41" i="8"/>
  <c r="AC42" i="8"/>
  <c r="AC43" i="8" s="1"/>
  <c r="J43" i="8"/>
  <c r="S64" i="8"/>
  <c r="O64" i="8"/>
  <c r="N64" i="8" s="1"/>
  <c r="U54" i="8"/>
  <c r="U55" i="8" s="1"/>
  <c r="U56" i="8" s="1"/>
  <c r="U57" i="8" s="1"/>
  <c r="P61" i="8"/>
  <c r="R58" i="8"/>
  <c r="Q57" i="8" s="1"/>
  <c r="J42" i="7" l="1"/>
  <c r="I42" i="7"/>
  <c r="K42" i="7" s="1"/>
  <c r="U63" i="7"/>
  <c r="T63" i="7"/>
  <c r="S63" i="7"/>
  <c r="U62" i="7"/>
  <c r="T62" i="7"/>
  <c r="S62" i="7"/>
  <c r="P62" i="7"/>
  <c r="U61" i="7"/>
  <c r="T61" i="7"/>
  <c r="S61" i="7"/>
  <c r="U60" i="7"/>
  <c r="T60" i="7"/>
  <c r="S60" i="7"/>
  <c r="O60" i="7"/>
  <c r="U59" i="7"/>
  <c r="T59" i="7"/>
  <c r="S59" i="7"/>
  <c r="O59" i="7"/>
  <c r="AC58" i="7"/>
  <c r="AC59" i="7" s="1"/>
  <c r="AC60" i="7" s="1"/>
  <c r="AC61" i="7" s="1"/>
  <c r="AC62" i="7" s="1"/>
  <c r="AC63" i="7" s="1"/>
  <c r="U58" i="7"/>
  <c r="T58" i="7"/>
  <c r="S58" i="7"/>
  <c r="P58" i="7"/>
  <c r="AC57" i="7"/>
  <c r="AC56" i="7"/>
  <c r="AC55" i="7"/>
  <c r="S55" i="7"/>
  <c r="S56" i="7" s="1"/>
  <c r="S57" i="7" s="1"/>
  <c r="R55" i="7"/>
  <c r="R64" i="7" s="1"/>
  <c r="AC54" i="7"/>
  <c r="T54" i="7"/>
  <c r="T55" i="7" s="1"/>
  <c r="T56" i="7" s="1"/>
  <c r="T57" i="7" s="1"/>
  <c r="Q54" i="7"/>
  <c r="Q64" i="7" s="1"/>
  <c r="S64" i="7" s="1"/>
  <c r="P46" i="7"/>
  <c r="P44" i="7"/>
  <c r="AC37" i="7"/>
  <c r="AC38" i="7" s="1"/>
  <c r="AC39" i="7" s="1"/>
  <c r="AC40" i="7" s="1"/>
  <c r="L24" i="7"/>
  <c r="Q23" i="7"/>
  <c r="Q21" i="7"/>
  <c r="J32" i="6"/>
  <c r="J31" i="6"/>
  <c r="J42" i="6" s="1"/>
  <c r="Q64" i="6"/>
  <c r="U63" i="6"/>
  <c r="T63" i="6"/>
  <c r="S63" i="6"/>
  <c r="U62" i="6"/>
  <c r="T62" i="6"/>
  <c r="S62" i="6"/>
  <c r="P62" i="6"/>
  <c r="U61" i="6"/>
  <c r="T61" i="6"/>
  <c r="S61" i="6"/>
  <c r="U60" i="6"/>
  <c r="T60" i="6"/>
  <c r="S60" i="6"/>
  <c r="O60" i="6"/>
  <c r="U59" i="6"/>
  <c r="T59" i="6"/>
  <c r="S59" i="6"/>
  <c r="O59" i="6"/>
  <c r="P63" i="6" s="1"/>
  <c r="AC58" i="6"/>
  <c r="AC59" i="6" s="1"/>
  <c r="AC60" i="6" s="1"/>
  <c r="AC61" i="6" s="1"/>
  <c r="AC62" i="6" s="1"/>
  <c r="AC63" i="6" s="1"/>
  <c r="U58" i="6"/>
  <c r="T58" i="6"/>
  <c r="S58" i="6"/>
  <c r="R58" i="6"/>
  <c r="Q57" i="6" s="1"/>
  <c r="P58" i="6"/>
  <c r="AC57" i="6"/>
  <c r="AC56" i="6"/>
  <c r="S56" i="6"/>
  <c r="S57" i="6" s="1"/>
  <c r="R56" i="6"/>
  <c r="P56" i="6"/>
  <c r="P64" i="6" s="1"/>
  <c r="S55" i="6"/>
  <c r="R55" i="6"/>
  <c r="R64" i="6" s="1"/>
  <c r="AC54" i="6"/>
  <c r="AC55" i="6" s="1"/>
  <c r="U54" i="6"/>
  <c r="U55" i="6" s="1"/>
  <c r="U56" i="6" s="1"/>
  <c r="U57" i="6" s="1"/>
  <c r="T54" i="6"/>
  <c r="T55" i="6" s="1"/>
  <c r="T56" i="6" s="1"/>
  <c r="T57" i="6" s="1"/>
  <c r="Q54" i="6"/>
  <c r="P44" i="6"/>
  <c r="P46" i="6" s="1"/>
  <c r="I42" i="6"/>
  <c r="K42" i="6" s="1"/>
  <c r="AC37" i="6"/>
  <c r="AC38" i="6" s="1"/>
  <c r="AC39" i="6" s="1"/>
  <c r="AC40" i="6" s="1"/>
  <c r="L24" i="6"/>
  <c r="Q23" i="6"/>
  <c r="Q21" i="6"/>
  <c r="I29" i="5"/>
  <c r="I42" i="5" s="1"/>
  <c r="K42" i="5" s="1"/>
  <c r="U63" i="5"/>
  <c r="T63" i="5"/>
  <c r="S63" i="5"/>
  <c r="U62" i="5"/>
  <c r="T62" i="5"/>
  <c r="S62" i="5"/>
  <c r="P62" i="5"/>
  <c r="U61" i="5"/>
  <c r="T61" i="5"/>
  <c r="S61" i="5"/>
  <c r="U60" i="5"/>
  <c r="T60" i="5"/>
  <c r="S60" i="5"/>
  <c r="O60" i="5"/>
  <c r="U59" i="5"/>
  <c r="T59" i="5"/>
  <c r="S59" i="5"/>
  <c r="O59" i="5"/>
  <c r="P61" i="5" s="1"/>
  <c r="AC58" i="5"/>
  <c r="AC59" i="5" s="1"/>
  <c r="AC60" i="5" s="1"/>
  <c r="AC61" i="5" s="1"/>
  <c r="AC62" i="5" s="1"/>
  <c r="AC63" i="5" s="1"/>
  <c r="U58" i="5"/>
  <c r="T58" i="5"/>
  <c r="S58" i="5"/>
  <c r="R58" i="5"/>
  <c r="Q57" i="5" s="1"/>
  <c r="P58" i="5"/>
  <c r="AC57" i="5"/>
  <c r="AC56" i="5"/>
  <c r="S56" i="5"/>
  <c r="S57" i="5" s="1"/>
  <c r="R56" i="5"/>
  <c r="P56" i="5"/>
  <c r="P64" i="5" s="1"/>
  <c r="S55" i="5"/>
  <c r="R55" i="5"/>
  <c r="R64" i="5" s="1"/>
  <c r="AC54" i="5"/>
  <c r="AC55" i="5" s="1"/>
  <c r="T54" i="5"/>
  <c r="T55" i="5" s="1"/>
  <c r="T56" i="5" s="1"/>
  <c r="T57" i="5" s="1"/>
  <c r="Q54" i="5"/>
  <c r="Q64" i="5" s="1"/>
  <c r="P46" i="5"/>
  <c r="P44" i="5"/>
  <c r="AC37" i="5"/>
  <c r="AC38" i="5" s="1"/>
  <c r="AC39" i="5" s="1"/>
  <c r="AC40" i="5" s="1"/>
  <c r="L24" i="5"/>
  <c r="Q23" i="5"/>
  <c r="Q21" i="5"/>
  <c r="I29" i="4"/>
  <c r="U63" i="4"/>
  <c r="T63" i="4"/>
  <c r="S63" i="4"/>
  <c r="U62" i="4"/>
  <c r="T62" i="4"/>
  <c r="S62" i="4"/>
  <c r="P62" i="4"/>
  <c r="U61" i="4"/>
  <c r="T61" i="4"/>
  <c r="S61" i="4"/>
  <c r="U60" i="4"/>
  <c r="T60" i="4"/>
  <c r="S60" i="4"/>
  <c r="O60" i="4"/>
  <c r="U59" i="4"/>
  <c r="T59" i="4"/>
  <c r="S59" i="4"/>
  <c r="O59" i="4"/>
  <c r="P63" i="4" s="1"/>
  <c r="AC58" i="4"/>
  <c r="AC59" i="4" s="1"/>
  <c r="AC60" i="4" s="1"/>
  <c r="AC61" i="4" s="1"/>
  <c r="AC62" i="4" s="1"/>
  <c r="AC63" i="4" s="1"/>
  <c r="U58" i="4"/>
  <c r="T58" i="4"/>
  <c r="S58" i="4"/>
  <c r="R58" i="4"/>
  <c r="Q57" i="4" s="1"/>
  <c r="P58" i="4"/>
  <c r="AC57" i="4"/>
  <c r="AC56" i="4"/>
  <c r="R56" i="4"/>
  <c r="P56" i="4"/>
  <c r="P64" i="4" s="1"/>
  <c r="S55" i="4"/>
  <c r="S56" i="4" s="1"/>
  <c r="S57" i="4" s="1"/>
  <c r="R55" i="4"/>
  <c r="R64" i="4" s="1"/>
  <c r="AC54" i="4"/>
  <c r="AC55" i="4" s="1"/>
  <c r="T54" i="4"/>
  <c r="U54" i="4" s="1"/>
  <c r="U55" i="4" s="1"/>
  <c r="U56" i="4" s="1"/>
  <c r="U57" i="4" s="1"/>
  <c r="Q54" i="4"/>
  <c r="Q64" i="4" s="1"/>
  <c r="P46" i="4"/>
  <c r="P44" i="4"/>
  <c r="I42" i="4"/>
  <c r="K42" i="4" s="1"/>
  <c r="AC37" i="4"/>
  <c r="AC38" i="4" s="1"/>
  <c r="AC39" i="4" s="1"/>
  <c r="AC40" i="4" s="1"/>
  <c r="J30" i="4"/>
  <c r="J42" i="4" s="1"/>
  <c r="L24" i="4"/>
  <c r="Q23" i="4"/>
  <c r="Q21" i="4"/>
  <c r="J30" i="3"/>
  <c r="I29" i="3"/>
  <c r="I42" i="3" s="1"/>
  <c r="K42" i="3" s="1"/>
  <c r="L24" i="3"/>
  <c r="U63" i="3"/>
  <c r="T63" i="3"/>
  <c r="S63" i="3"/>
  <c r="U62" i="3"/>
  <c r="T62" i="3"/>
  <c r="S62" i="3"/>
  <c r="P62" i="3"/>
  <c r="U61" i="3"/>
  <c r="T61" i="3"/>
  <c r="S61" i="3"/>
  <c r="U60" i="3"/>
  <c r="T60" i="3"/>
  <c r="S60" i="3"/>
  <c r="O60" i="3"/>
  <c r="U59" i="3"/>
  <c r="T59" i="3"/>
  <c r="S59" i="3"/>
  <c r="O59" i="3"/>
  <c r="O64" i="3" s="1"/>
  <c r="AC58" i="3"/>
  <c r="AC59" i="3" s="1"/>
  <c r="AC60" i="3" s="1"/>
  <c r="AC61" i="3" s="1"/>
  <c r="AC62" i="3" s="1"/>
  <c r="AC63" i="3" s="1"/>
  <c r="U58" i="3"/>
  <c r="T58" i="3"/>
  <c r="S58" i="3"/>
  <c r="R58" i="3"/>
  <c r="Q57" i="3" s="1"/>
  <c r="P58" i="3"/>
  <c r="AC57" i="3"/>
  <c r="AC56" i="3"/>
  <c r="R56" i="3"/>
  <c r="P56" i="3"/>
  <c r="P64" i="3" s="1"/>
  <c r="S55" i="3"/>
  <c r="S56" i="3" s="1"/>
  <c r="S57" i="3" s="1"/>
  <c r="R55" i="3"/>
  <c r="R64" i="3" s="1"/>
  <c r="AC54" i="3"/>
  <c r="AC55" i="3" s="1"/>
  <c r="T54" i="3"/>
  <c r="T55" i="3" s="1"/>
  <c r="T56" i="3" s="1"/>
  <c r="T57" i="3" s="1"/>
  <c r="Q54" i="3"/>
  <c r="Q64" i="3" s="1"/>
  <c r="P46" i="3"/>
  <c r="P44" i="3"/>
  <c r="AC37" i="3"/>
  <c r="AC38" i="3" s="1"/>
  <c r="AC39" i="3" s="1"/>
  <c r="AC40" i="3" s="1"/>
  <c r="Q23" i="3"/>
  <c r="Q21" i="3"/>
  <c r="I29" i="2"/>
  <c r="R64" i="2"/>
  <c r="U63" i="2"/>
  <c r="T63" i="2"/>
  <c r="S63" i="2"/>
  <c r="U62" i="2"/>
  <c r="T62" i="2"/>
  <c r="S62" i="2"/>
  <c r="U61" i="2"/>
  <c r="T61" i="2"/>
  <c r="S61" i="2"/>
  <c r="U60" i="2"/>
  <c r="T60" i="2"/>
  <c r="S60" i="2"/>
  <c r="O60" i="2"/>
  <c r="P62" i="2" s="1"/>
  <c r="U59" i="2"/>
  <c r="T59" i="2"/>
  <c r="S59" i="2"/>
  <c r="O59" i="2"/>
  <c r="AC58" i="2"/>
  <c r="AC59" i="2" s="1"/>
  <c r="AC60" i="2" s="1"/>
  <c r="AC61" i="2" s="1"/>
  <c r="AC62" i="2" s="1"/>
  <c r="AC63" i="2" s="1"/>
  <c r="U58" i="2"/>
  <c r="T58" i="2"/>
  <c r="S58" i="2"/>
  <c r="P58" i="2"/>
  <c r="AC57" i="2"/>
  <c r="S57" i="2"/>
  <c r="AC56" i="2"/>
  <c r="S56" i="2"/>
  <c r="AC55" i="2"/>
  <c r="S55" i="2"/>
  <c r="R55" i="2"/>
  <c r="AC54" i="2"/>
  <c r="T54" i="2"/>
  <c r="T55" i="2" s="1"/>
  <c r="T56" i="2" s="1"/>
  <c r="T57" i="2" s="1"/>
  <c r="Q54" i="2"/>
  <c r="Q64" i="2" s="1"/>
  <c r="S64" i="2" s="1"/>
  <c r="P46" i="2"/>
  <c r="P44" i="2"/>
  <c r="I42" i="2"/>
  <c r="K42" i="2" s="1"/>
  <c r="AC37" i="2"/>
  <c r="AC38" i="2" s="1"/>
  <c r="AC39" i="2" s="1"/>
  <c r="AC40" i="2" s="1"/>
  <c r="J30" i="2"/>
  <c r="J42" i="2" s="1"/>
  <c r="L24" i="2"/>
  <c r="Q23" i="2"/>
  <c r="Q21" i="2"/>
  <c r="I29" i="1"/>
  <c r="J43" i="7" l="1"/>
  <c r="AC41" i="7"/>
  <c r="AC42" i="7"/>
  <c r="AC43" i="7" s="1"/>
  <c r="U54" i="7"/>
  <c r="U55" i="7" s="1"/>
  <c r="U56" i="7" s="1"/>
  <c r="U57" i="7" s="1"/>
  <c r="R56" i="7"/>
  <c r="P56" i="7" s="1"/>
  <c r="P64" i="7" s="1"/>
  <c r="R58" i="7"/>
  <c r="Q57" i="7" s="1"/>
  <c r="P61" i="7"/>
  <c r="O64" i="7"/>
  <c r="AC41" i="6"/>
  <c r="AC42" i="6"/>
  <c r="AC43" i="6" s="1"/>
  <c r="S64" i="6"/>
  <c r="P61" i="6"/>
  <c r="O64" i="6"/>
  <c r="N64" i="6" s="1"/>
  <c r="J30" i="5"/>
  <c r="J42" i="5" s="1"/>
  <c r="AC41" i="5"/>
  <c r="AC42" i="5"/>
  <c r="AC43" i="5" s="1"/>
  <c r="S64" i="5"/>
  <c r="O64" i="5"/>
  <c r="N64" i="5" s="1"/>
  <c r="U54" i="5"/>
  <c r="U55" i="5" s="1"/>
  <c r="U56" i="5" s="1"/>
  <c r="U57" i="5" s="1"/>
  <c r="P63" i="5"/>
  <c r="AC41" i="4"/>
  <c r="AC42" i="4"/>
  <c r="AC43" i="4" s="1"/>
  <c r="S64" i="4"/>
  <c r="P61" i="4"/>
  <c r="O64" i="4"/>
  <c r="N64" i="4" s="1"/>
  <c r="T55" i="4"/>
  <c r="T56" i="4" s="1"/>
  <c r="T57" i="4" s="1"/>
  <c r="J42" i="3"/>
  <c r="AC41" i="3"/>
  <c r="AC42" i="3"/>
  <c r="AC43" i="3" s="1"/>
  <c r="N64" i="3"/>
  <c r="S64" i="3"/>
  <c r="U54" i="3"/>
  <c r="U55" i="3" s="1"/>
  <c r="U56" i="3" s="1"/>
  <c r="U57" i="3" s="1"/>
  <c r="P63" i="3"/>
  <c r="P61" i="3"/>
  <c r="AC41" i="2"/>
  <c r="AC42" i="2"/>
  <c r="AC43" i="2" s="1"/>
  <c r="P61" i="2"/>
  <c r="O64" i="2"/>
  <c r="U54" i="2"/>
  <c r="U55" i="2" s="1"/>
  <c r="U56" i="2" s="1"/>
  <c r="U57" i="2" s="1"/>
  <c r="R58" i="2"/>
  <c r="Q57" i="2" s="1"/>
  <c r="R56" i="2"/>
  <c r="P56" i="2" s="1"/>
  <c r="P64" i="2" s="1"/>
  <c r="N64" i="7" l="1"/>
  <c r="P63" i="7"/>
  <c r="N64" i="2"/>
  <c r="P63" i="2"/>
  <c r="Q64" i="1" l="1"/>
  <c r="U63" i="1"/>
  <c r="T63" i="1"/>
  <c r="S63" i="1"/>
  <c r="U62" i="1"/>
  <c r="T62" i="1"/>
  <c r="S62" i="1"/>
  <c r="P62" i="1"/>
  <c r="U61" i="1"/>
  <c r="T61" i="1"/>
  <c r="S61" i="1"/>
  <c r="U60" i="1"/>
  <c r="T60" i="1"/>
  <c r="S60" i="1"/>
  <c r="O60" i="1"/>
  <c r="U59" i="1"/>
  <c r="T59" i="1"/>
  <c r="S59" i="1"/>
  <c r="O59" i="1"/>
  <c r="O64" i="1" s="1"/>
  <c r="AC58" i="1"/>
  <c r="AC59" i="1" s="1"/>
  <c r="AC60" i="1" s="1"/>
  <c r="AC61" i="1" s="1"/>
  <c r="AC62" i="1" s="1"/>
  <c r="AC63" i="1" s="1"/>
  <c r="U58" i="1"/>
  <c r="T58" i="1"/>
  <c r="S58" i="1"/>
  <c r="P58" i="1"/>
  <c r="AC57" i="1"/>
  <c r="AC56" i="1"/>
  <c r="S56" i="1"/>
  <c r="S57" i="1" s="1"/>
  <c r="R56" i="1"/>
  <c r="P56" i="1"/>
  <c r="P63" i="1" s="1"/>
  <c r="S55" i="1"/>
  <c r="R55" i="1"/>
  <c r="R64" i="1" s="1"/>
  <c r="AC54" i="1"/>
  <c r="AC55" i="1" s="1"/>
  <c r="T54" i="1"/>
  <c r="T55" i="1" s="1"/>
  <c r="T56" i="1" s="1"/>
  <c r="T57" i="1" s="1"/>
  <c r="Q54" i="1"/>
  <c r="R58" i="1" s="1"/>
  <c r="Q57" i="1" s="1"/>
  <c r="P44" i="1"/>
  <c r="P46" i="1" s="1"/>
  <c r="I42" i="1"/>
  <c r="K42" i="1" s="1"/>
  <c r="AC37" i="1"/>
  <c r="AC38" i="1" s="1"/>
  <c r="AC39" i="1" s="1"/>
  <c r="AC40" i="1" s="1"/>
  <c r="J30" i="1"/>
  <c r="J42" i="1" s="1"/>
  <c r="L24" i="1"/>
  <c r="Q23" i="1"/>
  <c r="Q21" i="1"/>
  <c r="AC41" i="1" l="1"/>
  <c r="AC42" i="1"/>
  <c r="AC43" i="1" s="1"/>
  <c r="S64" i="1"/>
  <c r="U54" i="1"/>
  <c r="U55" i="1" s="1"/>
  <c r="U56" i="1" s="1"/>
  <c r="U57" i="1" s="1"/>
  <c r="P61" i="1"/>
  <c r="P64" i="1"/>
  <c r="N64" i="1" s="1"/>
</calcChain>
</file>

<file path=xl/comments1.xml><?xml version="1.0" encoding="utf-8"?>
<comments xmlns="http://schemas.openxmlformats.org/spreadsheetml/2006/main">
  <authors>
    <author>Autor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para el registro de nomina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para el registro de nomina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para el registro de nomina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para el registro de nomina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para el registro de nomina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Cuenta para el registro de nomina</t>
        </r>
      </text>
    </comment>
  </commentList>
</comments>
</file>

<file path=xl/sharedStrings.xml><?xml version="1.0" encoding="utf-8"?>
<sst xmlns="http://schemas.openxmlformats.org/spreadsheetml/2006/main" count="8071" uniqueCount="342">
  <si>
    <t>Managua, Nicaragua</t>
  </si>
  <si>
    <t>Concepto:</t>
  </si>
  <si>
    <t>TC</t>
  </si>
  <si>
    <t>REY ADRIAN ALVARADO ESPINOZA</t>
  </si>
  <si>
    <t>PAGO POR SERVICIO DE ALQUILER DE APARTAMENTO PARA LEYSER RUANO-GERENTE DE VENTAS POR EL MES DE JULIO DEL 2019. T/C 33.1577</t>
  </si>
  <si>
    <t>NORVIN DANILO CRUZ PONCE</t>
  </si>
  <si>
    <t>LEYSER BIGABRIEL RUANO MEDRANO</t>
  </si>
  <si>
    <t>Codigo</t>
  </si>
  <si>
    <t>Nombre de la cuenta</t>
  </si>
  <si>
    <t>Debito</t>
  </si>
  <si>
    <t>Credito</t>
  </si>
  <si>
    <t>Cuenta de mayor/Código SN</t>
  </si>
  <si>
    <t>Cuenta de mayor/Nombre SN</t>
  </si>
  <si>
    <t>Cuenta asociada</t>
  </si>
  <si>
    <t>Débito (ME)</t>
  </si>
  <si>
    <t>Crédito (ME)</t>
  </si>
  <si>
    <t>Débito</t>
  </si>
  <si>
    <t>Crédito</t>
  </si>
  <si>
    <t>Proyecto</t>
  </si>
  <si>
    <t>Referencia 1</t>
  </si>
  <si>
    <t>Referencia 2</t>
  </si>
  <si>
    <t>Referencia 3</t>
  </si>
  <si>
    <t>Región</t>
  </si>
  <si>
    <t>Ubicación</t>
  </si>
  <si>
    <t>Centro de Costo/Gasto</t>
  </si>
  <si>
    <t>Ejecución de orden de pago</t>
  </si>
  <si>
    <t>Tipo De Cambio</t>
  </si>
  <si>
    <t>BAC DÓLARES # 356639161</t>
  </si>
  <si>
    <t>USD 847.50</t>
  </si>
  <si>
    <t>CK 344</t>
  </si>
  <si>
    <t>N</t>
  </si>
  <si>
    <t>Retenciones ISR por Pagar</t>
  </si>
  <si>
    <t>USD 15.00</t>
  </si>
  <si>
    <t>Asesoría Legal</t>
  </si>
  <si>
    <t>USD 750.00</t>
  </si>
  <si>
    <t>IVA Crédito Fiscal Local</t>
  </si>
  <si>
    <t>USD 112.50</t>
  </si>
  <si>
    <t>Bloqueo de pago</t>
  </si>
  <si>
    <t>Motivo del bloqueo</t>
  </si>
  <si>
    <t>Totales</t>
  </si>
  <si>
    <t>IR</t>
  </si>
  <si>
    <t>ELABORADO</t>
  </si>
  <si>
    <t>AUTORIZADO</t>
  </si>
  <si>
    <t>Valor a Pagar</t>
  </si>
  <si>
    <t xml:space="preserve">Ivonne Narvaez </t>
  </si>
  <si>
    <t>Douglas Vasquez</t>
  </si>
  <si>
    <t>Mano de  Obra</t>
  </si>
  <si>
    <t>001-100883-0015G</t>
  </si>
  <si>
    <t>001-220585-0054U</t>
  </si>
  <si>
    <t>PAGO DE VIATICO A MECANICO DE EL SV POR APOYO, SUPERV. PROCESO PRODUC. Y MANT. EN PLANTA PRODUCCION, POR LOS DIAS DEL 16 AL 29-09-18. T/C 31.9182</t>
  </si>
  <si>
    <t>FECHA DE ENTREGA</t>
  </si>
  <si>
    <t>NOMBRE Y APELLIDO/ RECIBE</t>
  </si>
  <si>
    <t>PAGO POR ABONO DE VIATICO EQUIVALENTE A $ 486.89 A GERENTE DE VENTAS LEYSER RUANO POR EL MES DE MAYO 2019. T/C 32.8620</t>
  </si>
  <si>
    <t>Débito (MS)</t>
  </si>
  <si>
    <t>Crédito (MS)</t>
  </si>
  <si>
    <t>Unidad de Costo/Gasto</t>
  </si>
  <si>
    <t>Viáticos</t>
  </si>
  <si>
    <t>COMPLEMENTO CK14047 LEYSER RUANO VIATICO MAY-19</t>
  </si>
  <si>
    <t>N15001</t>
  </si>
  <si>
    <t>R01</t>
  </si>
  <si>
    <t>O01</t>
  </si>
  <si>
    <t>D02</t>
  </si>
  <si>
    <t>Otras Cuentas por Cobrar</t>
  </si>
  <si>
    <t>Cuota Laboral Seguro Social  por Pagar</t>
  </si>
  <si>
    <t>Cuotas Patronales</t>
  </si>
  <si>
    <t>Cuotas Patronales INATEC</t>
  </si>
  <si>
    <t>Cuota Patronal Seguro Social  por Pagar</t>
  </si>
  <si>
    <t>Provision INATEC</t>
  </si>
  <si>
    <t>Diferencial Cambiario Negociación</t>
  </si>
  <si>
    <t>Numero de Referencia</t>
  </si>
  <si>
    <t>FISCOHSA DOLARES</t>
  </si>
  <si>
    <t>DANIELA VIDAURRE LOVO</t>
  </si>
  <si>
    <t>** Tres cientos ochenta y cinco Dolares con 85/100 **</t>
  </si>
  <si>
    <t>Abono a CXP a Daniela Vidaurre por Abono a Google Gsuite $335.85 T/C 36.6243</t>
  </si>
  <si>
    <t>211-300-001</t>
  </si>
  <si>
    <t xml:space="preserve">Daniela Vidaurre Lovo </t>
  </si>
  <si>
    <t>111-300-002</t>
  </si>
  <si>
    <t>IURIS CTA FISCOHSA 210301010006309</t>
  </si>
  <si>
    <t>MILENA CESILIA SOTO ALVARADO</t>
  </si>
  <si>
    <t>** Trescientos diez dolares con 50/100 **</t>
  </si>
  <si>
    <t>Reintegro de Anticipo por deposito del cliente MILENA SOTO ALVARADO// por error realizo pago de los servicios dos veces</t>
  </si>
  <si>
    <t>420-100-003</t>
  </si>
  <si>
    <t>Otros Ingresos</t>
  </si>
  <si>
    <t>Alvaro Lopez Ruiz</t>
  </si>
  <si>
    <t>** Cuarenta Dólares Netos**</t>
  </si>
  <si>
    <t xml:space="preserve">Pago de Arancel por Busqueda de Marca IURIS CONSULTUS NICARAGUA,SA </t>
  </si>
  <si>
    <t>611-110-001</t>
  </si>
  <si>
    <t>Aranceles</t>
  </si>
  <si>
    <t>** Ochocientos Dolares Netos**</t>
  </si>
  <si>
    <t>Pago de Arancel por atencion al cliente ALIER FRANCO</t>
  </si>
  <si>
    <t xml:space="preserve">Pago de Tramite por inscripcion de marca IURIS CONSULTUS NIC,SA </t>
  </si>
  <si>
    <t>** Ciento treinta y siete Dolares netos**</t>
  </si>
  <si>
    <t>FISCOHSA CORDOBAS</t>
  </si>
  <si>
    <t>CAPISA</t>
  </si>
  <si>
    <t>** Veinte mil seiscientos noveenta y dos cordobas con 73/100**</t>
  </si>
  <si>
    <t xml:space="preserve">Pago de Avaluos de 03 modulos fact# 0083861 </t>
  </si>
  <si>
    <t>113-100-002</t>
  </si>
  <si>
    <t>IVA Acreditable 15%</t>
  </si>
  <si>
    <t>212-100-004</t>
  </si>
  <si>
    <t>Retencion Impuesto  2% por compra de bienes y servicios</t>
  </si>
  <si>
    <t>111-200-002</t>
  </si>
  <si>
    <t xml:space="preserve">IURS CTA CORRIENTE FICOHSA 210301000005752 </t>
  </si>
  <si>
    <t>DGI</t>
  </si>
  <si>
    <t>** Ciento un mil quinientos sesenta y un cordobas con 64/1000**</t>
  </si>
  <si>
    <t>Pago de Impuestos DGI Diciembre 2024 IURIS CONSULTUS NIC,SA</t>
  </si>
  <si>
    <t>113-100-001</t>
  </si>
  <si>
    <t>Retenciones en la Fuente 2%</t>
  </si>
  <si>
    <t>212-100-003</t>
  </si>
  <si>
    <t>Retencion Impuesto Honorarios Profesionales 10%</t>
  </si>
  <si>
    <t>212-100-006</t>
  </si>
  <si>
    <t>IR Salario</t>
  </si>
  <si>
    <t>212-200-001</t>
  </si>
  <si>
    <t>IVA por pagar 15%</t>
  </si>
  <si>
    <t>** Diez mil seiscientos veintisiete cordobas con 89/100**</t>
  </si>
  <si>
    <t>Pago de Impuestos DGI Diciembre 2024  MV</t>
  </si>
  <si>
    <t>613-100-000</t>
  </si>
  <si>
    <t>GASTOS NO DEDUCIBLES</t>
  </si>
  <si>
    <t>Douglas Vasquez Espinoza</t>
  </si>
  <si>
    <t>** Treinta y seis mil ciento treinta y dos cordobas con 50/100**</t>
  </si>
  <si>
    <t>211-400-005</t>
  </si>
  <si>
    <t>Pago por reparaciones en Modulo 703 U$970.00</t>
  </si>
  <si>
    <t>614-200-002</t>
  </si>
  <si>
    <t>Diferencial Cambiario</t>
  </si>
  <si>
    <t>REEMBOLSO CAJA CHICA AREA DE IURIS</t>
  </si>
  <si>
    <t>Ivonne Narvaez Rodriguez</t>
  </si>
  <si>
    <t>**Ocho mil trescientos veinticuatro cordobas con 76/100**</t>
  </si>
  <si>
    <t>112-100-000</t>
  </si>
  <si>
    <t>CUENTAS POR COBRAR CLIENTES</t>
  </si>
  <si>
    <t>212-200-000</t>
  </si>
  <si>
    <t>IMPUESTOS A PAGAR</t>
  </si>
  <si>
    <t>611-300-005</t>
  </si>
  <si>
    <t>Cumpleaños</t>
  </si>
  <si>
    <t>611-300-007</t>
  </si>
  <si>
    <t>Viático de Alimentación</t>
  </si>
  <si>
    <t>611-400-004</t>
  </si>
  <si>
    <t>Papeleria Fiscal</t>
  </si>
  <si>
    <t>611-900-002</t>
  </si>
  <si>
    <t>Transportes</t>
  </si>
  <si>
    <t>611-900-003</t>
  </si>
  <si>
    <t>Combustible</t>
  </si>
  <si>
    <t>Juana Paola Andino Delgadillo</t>
  </si>
  <si>
    <t>**Dieciocho mil ciento trece cordobas con 50/100**</t>
  </si>
  <si>
    <t>SUJETO A RENDICION DE CUENTA</t>
  </si>
  <si>
    <t>111-300-004</t>
  </si>
  <si>
    <t>ANTICIPOS PROVEEDORES</t>
  </si>
  <si>
    <t>**Setenta y Cinco cordobas netos**</t>
  </si>
  <si>
    <t>Pago de Impuestos ALMA DIC-2024 MV</t>
  </si>
  <si>
    <t>Sara Yoleska Mayorga</t>
  </si>
  <si>
    <t>**Novecientos noventa Cordobas netos**</t>
  </si>
  <si>
    <t>Gasto de tranporte a Alcaldia de managua, a reunion con asesoria legal, a a fin de dar seguimiento a negociacion de pagos de ajuste de auditoria cliente FINANCIERA FAMA// Cobrado ND-0007</t>
  </si>
  <si>
    <t>**Ocho Mil quinientos noventa y un cordobas con 15/100**</t>
  </si>
  <si>
    <t>Reembolso caja chica area de admon IURIS</t>
  </si>
  <si>
    <t>Gastos no deducibles</t>
  </si>
  <si>
    <t>211-100-000</t>
  </si>
  <si>
    <t xml:space="preserve">CUENTAS POR PAGAR PROVEEDORES </t>
  </si>
  <si>
    <t>211-200-002</t>
  </si>
  <si>
    <t>Alcaldia de Managua</t>
  </si>
  <si>
    <t>611-900-001</t>
  </si>
  <si>
    <t xml:space="preserve">Alimentacion </t>
  </si>
  <si>
    <t>611-500-005</t>
  </si>
  <si>
    <t>Avaluos modulos</t>
  </si>
  <si>
    <t>DIARIO-1-03012025</t>
  </si>
  <si>
    <t>Registro  por reparaciones en Modulo 703 U$970.00</t>
  </si>
  <si>
    <t>**Siete mil quinientos treinta y cuatro cordobas con 60/100**</t>
  </si>
  <si>
    <t>anticipo sujeto a rendicion de cuenta por registro</t>
  </si>
  <si>
    <t>**Cuatro mil ciento treinta cordobas netos**</t>
  </si>
  <si>
    <t>Anticipo por compra de timbre fiscales para uso en atencion a clientes</t>
  </si>
  <si>
    <t>Rendicion de cuenta por compra de Timbres Fiscales</t>
  </si>
  <si>
    <t>DIARIO-3-14012025</t>
  </si>
  <si>
    <t>611-130-002</t>
  </si>
  <si>
    <t>Basura</t>
  </si>
  <si>
    <t>611-130-001</t>
  </si>
  <si>
    <t>Impuesto 1% sobre ingresos</t>
  </si>
  <si>
    <t>113-100-003</t>
  </si>
  <si>
    <t>Retenciones 1% Alcaldia de Managua</t>
  </si>
  <si>
    <t>ALCALDIA DE MANAGUA</t>
  </si>
  <si>
    <t>**Dos mil trescientos sesenta y siete cordobas con 88/100**</t>
  </si>
  <si>
    <t>Telefonica Celular de Nic,S.A</t>
  </si>
  <si>
    <t>**Seis mil cuatrocientos ochenta y tres cordobas con 23/100**</t>
  </si>
  <si>
    <t>Cancelando la Fact MSDFC28256842 DIC 2025</t>
  </si>
  <si>
    <t>211-100-001</t>
  </si>
  <si>
    <t>Telefonia Celular De Nicaragua, S.A.</t>
  </si>
  <si>
    <t>Pago de impuestos municipales ALMA correspondiente al mes de enero 2025</t>
  </si>
  <si>
    <t>Registro de IMI Alcaldia de Managua correspondiente al mes de enero 2025</t>
  </si>
  <si>
    <t>Douglas Antonio Vasquez Espinoza</t>
  </si>
  <si>
    <t>**Veintisiete mil novecientos setenta y cuatro cordobas con 89/100**</t>
  </si>
  <si>
    <t>Pgo Serv Profesionales Asesoria Admon 1era q de Enero 2025</t>
  </si>
  <si>
    <t>611-100-002</t>
  </si>
  <si>
    <t>Servicios Profesionales</t>
  </si>
  <si>
    <t>614-200-000</t>
  </si>
  <si>
    <t>Pago por Depreciacion de Moto Gestiones Admon</t>
  </si>
  <si>
    <t>612-100-002</t>
  </si>
  <si>
    <t>Gasto de depreciacion 2024</t>
  </si>
  <si>
    <t>**Un mil ochocientos setenta y cinco cordobas netos**</t>
  </si>
  <si>
    <t>Bismarck Antonio Bermudez Gutierrez</t>
  </si>
  <si>
    <t>ALVARO JOSE LOPEZ RUIZ</t>
  </si>
  <si>
    <t>**Tres mil setecientos cincuenta cordobas netos**</t>
  </si>
  <si>
    <t>Pago por Depreciacion de Moto Gestiones Admon enero 2025</t>
  </si>
  <si>
    <t>DIARIO-4-14012025</t>
  </si>
  <si>
    <t>Registro de  Nomina correspondiente a la 1era quincena de Enero 2025</t>
  </si>
  <si>
    <t>212-360-001</t>
  </si>
  <si>
    <t>Salarios</t>
  </si>
  <si>
    <t>212-100-001</t>
  </si>
  <si>
    <t>Retenciones INSS Empleado</t>
  </si>
  <si>
    <t>212-360-002</t>
  </si>
  <si>
    <t>Aporte INATEC 2%</t>
  </si>
  <si>
    <t>611-200-002</t>
  </si>
  <si>
    <t>Instituto nacional tecnologico INATEC</t>
  </si>
  <si>
    <t>212-360-003</t>
  </si>
  <si>
    <t>Cuota INSS Patronal 21.5%</t>
  </si>
  <si>
    <t>611-200-001</t>
  </si>
  <si>
    <t>Instituto de seguridad social INSS Patronal</t>
  </si>
  <si>
    <t>611-100-001</t>
  </si>
  <si>
    <t>IURIS CONSULTUS NIC,SA</t>
  </si>
  <si>
    <t>**Cincuenta y siete mil novecientos sesenta y cuatro cordobas con 84/100**</t>
  </si>
  <si>
    <t>Pago de Nomina correspondiente a la 1era quincena de enero 2025</t>
  </si>
  <si>
    <t xml:space="preserve">PGO SERVICIOS PROFESIONALES ASESORIA ENERO 2025 </t>
  </si>
  <si>
    <t>Daniela Vidaurre Lovo</t>
  </si>
  <si>
    <t>**Ochenta y siete mil seiscientos cincuenta y cuatro cordobas con 96/100**</t>
  </si>
  <si>
    <t>DIARIO-5-14012025</t>
  </si>
  <si>
    <t>Registro de cuenta por pagar a DANIEL VIDAURRE por Google Suite U$921.51 T/C 36.6243</t>
  </si>
  <si>
    <t>**Treinta y cuatro mil trescientos setenta y dos cordobas con 32/100**</t>
  </si>
  <si>
    <t>Abono a cuenta por pagar Daniela Vidaurre U$921.51 T/C 36.6243</t>
  </si>
  <si>
    <t>Daniela Vidaurre</t>
  </si>
  <si>
    <t>DIARIO-6-14012025</t>
  </si>
  <si>
    <t>Registro de cuenta por pagar a DOUGLAS VASQUEZ U$1,100.00  T/C 36.6243</t>
  </si>
  <si>
    <t>**Cuarenta y un mil treinta cordobas netos**</t>
  </si>
  <si>
    <t>Abono a cuenta por pagar Douglas Vasquez U$1,100.00 T/C 36.6243</t>
  </si>
  <si>
    <t>611-400-005</t>
  </si>
  <si>
    <t xml:space="preserve">Insumos de cafeteria </t>
  </si>
  <si>
    <t>ENITEL, SA</t>
  </si>
  <si>
    <t>**Un mil Seiscientos setenta y siete cordobas con 99/100**</t>
  </si>
  <si>
    <t>Cancelando la factura# A0053439027 Dic-2024</t>
  </si>
  <si>
    <t>211-100-003</t>
  </si>
  <si>
    <t>Empresa Nicaraguense De Telecomunicaciones S.A</t>
  </si>
  <si>
    <t>**Cuatro mil ciento veintisiete cordobas con 74/100**</t>
  </si>
  <si>
    <t>Cancelando la factura# A0053434706 Dic-2024</t>
  </si>
  <si>
    <t>**Un mil cuatrocientos sesenta y siete cordobas con 40/100**</t>
  </si>
  <si>
    <t>Cancelando la factura# A0053438363 Dic-2024</t>
  </si>
  <si>
    <t>Cancelando la factura# A0053433538 Dic-2024</t>
  </si>
  <si>
    <t>**Un mil doscientos cinceunta y seis cordobas con 81/100**</t>
  </si>
  <si>
    <t>Cancelando la factura# A0053434575 Dic-2024</t>
  </si>
  <si>
    <t>INSS</t>
  </si>
  <si>
    <t>**Veintisiete mil setecientos cuarenta y tres cordobas con 29/100**</t>
  </si>
  <si>
    <t>Pago del Inss laboral y patronal correspondiente al mes de diciembre 2024</t>
  </si>
  <si>
    <t>INATEC</t>
  </si>
  <si>
    <t>**Un mil novecientos cuarenta y seis  cordobas con 90/100**</t>
  </si>
  <si>
    <t>Pago del INATEC aporte del 2% correspondiente al mes de diciembre 2024</t>
  </si>
  <si>
    <t>SEVASA</t>
  </si>
  <si>
    <t>**Seiscientos Noventa y cuatro cordobas con 95/100**</t>
  </si>
  <si>
    <t>611-500-001</t>
  </si>
  <si>
    <t>Gastos Mantenimiento Equipo de Oficina</t>
  </si>
  <si>
    <t>BRYAN CHRISTOPHER LOPEZ SOZA</t>
  </si>
  <si>
    <t>**Tres mil ciento cuarenta y nueve cordobas con 68/100**</t>
  </si>
  <si>
    <t>Pago según contrato por servicio de diseño// QR Tarjetas y 2 artes</t>
  </si>
  <si>
    <t>405593823//405760077</t>
  </si>
  <si>
    <t>DIARIO-7-29012025</t>
  </si>
  <si>
    <t>Registro de  Nomina correspondiente a la 2da  quincena de Enero 2025</t>
  </si>
  <si>
    <t>**Sesenta mil seiscientos dieciocho cordobas con 23/100**</t>
  </si>
  <si>
    <t>Pago de Nomina correspondiente a la 2da quincena de enero 2025</t>
  </si>
  <si>
    <t>David Humberto Orozco Contreras</t>
  </si>
  <si>
    <t>**Tres mil treinta y siete cordobas con 50/100**</t>
  </si>
  <si>
    <t>Pago según contrato por servicio de IT correspondiente al mes de Enero 2025</t>
  </si>
  <si>
    <t>Harinton Alberto Molina Narvaez</t>
  </si>
  <si>
    <t>**Un mil quinientos cordobas netos**</t>
  </si>
  <si>
    <t>Apoyo economico correspondiente a ala 2da quincena de enero 2025</t>
  </si>
  <si>
    <t>Cinthya Garcia Gutierrez</t>
  </si>
  <si>
    <t>**Un mil Ochocientos cordobas netos**</t>
  </si>
  <si>
    <t>Plaza Centroamerica,SA</t>
  </si>
  <si>
    <t>**Sesenta y cinco mil cuatrocientos sesenta y cuatro cordobas con 88/100**</t>
  </si>
  <si>
    <t>Cancel. ND 3474,3396,3428,3429 y Fact 3074 cuota mant. Septiembre-2024</t>
  </si>
  <si>
    <t>**Tres   mil quinientos setenta cordobas con 22/100**</t>
  </si>
  <si>
    <t>Pago de Matricula 2025</t>
  </si>
  <si>
    <t>611-130-003</t>
  </si>
  <si>
    <t>Matricula ALMA</t>
  </si>
  <si>
    <t xml:space="preserve">Fecha </t>
  </si>
  <si>
    <t>Comprobante</t>
  </si>
  <si>
    <t>Concepto</t>
  </si>
  <si>
    <t xml:space="preserve">cuenta </t>
  </si>
  <si>
    <t xml:space="preserve">Nombre de la cuenta </t>
  </si>
  <si>
    <t>Debe</t>
  </si>
  <si>
    <t>Haber</t>
  </si>
  <si>
    <t>TF-380160100</t>
  </si>
  <si>
    <t>TF-393392890</t>
  </si>
  <si>
    <t>TF-396845300</t>
  </si>
  <si>
    <t>TF-398981183</t>
  </si>
  <si>
    <t>TF-406538826</t>
  </si>
  <si>
    <t>TF-369373302</t>
  </si>
  <si>
    <t>TF-371450988</t>
  </si>
  <si>
    <t>TF-371480548</t>
  </si>
  <si>
    <t>TF-371484651</t>
  </si>
  <si>
    <t>TF-374479114</t>
  </si>
  <si>
    <t>TF-374479207</t>
  </si>
  <si>
    <t>TF-374479311</t>
  </si>
  <si>
    <t>TF-377505670</t>
  </si>
  <si>
    <t>TF-379260931</t>
  </si>
  <si>
    <t>Anticipo sujeto a rendicion de cuenta por registro</t>
  </si>
  <si>
    <t>TF-380966161</t>
  </si>
  <si>
    <t>TF-384856368</t>
  </si>
  <si>
    <t>TF-384866882</t>
  </si>
  <si>
    <t>TF-385295801</t>
  </si>
  <si>
    <t>TF-385295937</t>
  </si>
  <si>
    <t>TF-385296047</t>
  </si>
  <si>
    <t>TF-385305789</t>
  </si>
  <si>
    <t>TF-385328612</t>
  </si>
  <si>
    <t>TF-385371421</t>
  </si>
  <si>
    <t>TF-385403673</t>
  </si>
  <si>
    <t>TF-387650322</t>
  </si>
  <si>
    <t>TF-387656113</t>
  </si>
  <si>
    <t>TF-387656465</t>
  </si>
  <si>
    <t>TF-387656631</t>
  </si>
  <si>
    <t>TF-387656788</t>
  </si>
  <si>
    <t>T-387658763</t>
  </si>
  <si>
    <t>TF-388738036</t>
  </si>
  <si>
    <t>TF-387658763</t>
  </si>
  <si>
    <t>TF-388738104</t>
  </si>
  <si>
    <t>TF-388745453</t>
  </si>
  <si>
    <t>Compra de 02 HUB USB 4 PUERTOS// 1- Douglas Vasquez y 1- Juana Andino</t>
  </si>
  <si>
    <t>TF-405593823//405760077</t>
  </si>
  <si>
    <t>TF-406695777</t>
  </si>
  <si>
    <t>TF-406704413</t>
  </si>
  <si>
    <t>TF-406718046</t>
  </si>
  <si>
    <t>TF-406760039</t>
  </si>
  <si>
    <t>TF-410737135</t>
  </si>
  <si>
    <t>DIARIOS</t>
  </si>
  <si>
    <t>Registro</t>
  </si>
  <si>
    <t>Diario 1-030125</t>
  </si>
  <si>
    <t>Diario 2-140125</t>
  </si>
  <si>
    <t>Diario 3-140125</t>
  </si>
  <si>
    <t>Diario-4-14012025</t>
  </si>
  <si>
    <t>Diario-5-14012025</t>
  </si>
  <si>
    <t>Diario-6-14012025</t>
  </si>
  <si>
    <t>Diario-7-29012025</t>
  </si>
  <si>
    <t>DIARIO-8-29012025</t>
  </si>
  <si>
    <t>114-200-005</t>
  </si>
  <si>
    <t>Telefono (Depreciacion Acumulada)</t>
  </si>
  <si>
    <t>Registro de  Depreciacion enero-2025  por Celular Samsum Galaxy A15 128gb/6 RAM// Asignado a Juana Paola</t>
  </si>
  <si>
    <t>612-100-003</t>
  </si>
  <si>
    <t xml:space="preserve">Gastos de de Depreciacion </t>
  </si>
  <si>
    <t>Diario-8-29012025</t>
  </si>
  <si>
    <t>111-100-002</t>
  </si>
  <si>
    <t xml:space="preserve">Caja Chica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</si>
</sst>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(* #,##0.00_);_(* \(#,##0.00\);_(* &quot;-&quot;??_);_(@_)"/>
    <numFmt numFmtId="165" formatCode="&quot;C$&quot;\ #,##0.00_);[Red]\(&quot;C$&quot;\ #,##0.00\)"/>
    <numFmt numFmtId="166" formatCode="_(* #,##0.0000_);_(* \(#,##0.0000\);_(* &quot;-&quot;??_);_(@_)"/>
    <numFmt numFmtId="167" formatCode="_-[$NIO]\ * #,##0.00_-;\-[$NIO]\ * #,##0.00_-;_-[$NIO]\ * &quot;-&quot;??_-;_-@_-"/>
    <numFmt numFmtId="168" formatCode="_-[$$-C09]* #,##0.00_-;\-[$$-C09]* #,##0.00_-;_-[$$-C09]* &quot;-&quot;??_-;_-@_-"/>
    <numFmt numFmtId="169" formatCode="&quot;C$&quot;#,##0.00000;[Red]\-&quot;C$&quot;#,##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Calibri"/>
      <family val="2"/>
      <scheme val="minor"/>
    </font>
    <font>
      <b/>
      <sz val="12"/>
      <color theme="1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6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14" fontId="3" fillId="0" borderId="5" xfId="0" applyNumberFormat="1" applyFont="1" applyBorder="1" applyAlignment="1">
      <alignment horizontal="center"/>
    </xf>
    <xf numFmtId="0" fontId="2" fillId="0" borderId="0" xfId="0" applyFont="1"/>
    <xf numFmtId="43" fontId="6" fillId="0" borderId="0" xfId="1" applyFont="1" applyBorder="1"/>
    <xf numFmtId="43" fontId="6" fillId="0" borderId="5" xfId="1" applyFont="1" applyBorder="1"/>
    <xf numFmtId="43" fontId="3" fillId="0" borderId="0" xfId="1" applyFont="1"/>
    <xf numFmtId="0" fontId="7" fillId="0" borderId="0" xfId="2" applyFont="1"/>
    <xf numFmtId="0" fontId="8" fillId="0" borderId="0" xfId="2" applyFont="1" applyAlignment="1">
      <alignment wrapText="1"/>
    </xf>
    <xf numFmtId="0" fontId="3" fillId="0" borderId="0" xfId="0" applyFont="1" applyFill="1"/>
    <xf numFmtId="43" fontId="9" fillId="0" borderId="0" xfId="1" applyFont="1" applyFill="1" applyBorder="1"/>
    <xf numFmtId="43" fontId="9" fillId="0" borderId="0" xfId="1" applyFont="1" applyBorder="1"/>
    <xf numFmtId="0" fontId="6" fillId="0" borderId="5" xfId="0" applyFont="1" applyBorder="1"/>
    <xf numFmtId="164" fontId="6" fillId="0" borderId="0" xfId="0" applyNumberFormat="1" applyFont="1"/>
    <xf numFmtId="165" fontId="3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0" fillId="0" borderId="0" xfId="0" applyFont="1"/>
    <xf numFmtId="43" fontId="3" fillId="0" borderId="0" xfId="0" applyNumberFormat="1" applyFont="1"/>
    <xf numFmtId="0" fontId="11" fillId="0" borderId="1" xfId="0" applyFont="1" applyBorder="1"/>
    <xf numFmtId="0" fontId="8" fillId="2" borderId="0" xfId="0" applyFont="1" applyFill="1"/>
    <xf numFmtId="166" fontId="11" fillId="2" borderId="0" xfId="0" applyNumberFormat="1" applyFont="1" applyFill="1"/>
    <xf numFmtId="0" fontId="11" fillId="0" borderId="4" xfId="0" applyFont="1" applyBorder="1"/>
    <xf numFmtId="0" fontId="8" fillId="0" borderId="0" xfId="0" applyFont="1"/>
    <xf numFmtId="43" fontId="3" fillId="0" borderId="2" xfId="1" applyFont="1" applyBorder="1"/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Font="1" applyFill="1" applyBorder="1"/>
    <xf numFmtId="0" fontId="0" fillId="0" borderId="14" xfId="0" applyFill="1" applyBorder="1"/>
    <xf numFmtId="0" fontId="3" fillId="0" borderId="0" xfId="0" applyFont="1" applyBorder="1"/>
    <xf numFmtId="43" fontId="3" fillId="0" borderId="5" xfId="1" applyFont="1" applyBorder="1"/>
    <xf numFmtId="43" fontId="9" fillId="0" borderId="15" xfId="1" applyFont="1" applyBorder="1"/>
    <xf numFmtId="0" fontId="3" fillId="0" borderId="9" xfId="0" applyFont="1" applyBorder="1"/>
    <xf numFmtId="0" fontId="0" fillId="0" borderId="15" xfId="0" applyFill="1" applyBorder="1"/>
    <xf numFmtId="0" fontId="0" fillId="0" borderId="4" xfId="0" applyFill="1" applyBorder="1"/>
    <xf numFmtId="164" fontId="3" fillId="0" borderId="0" xfId="0" applyNumberFormat="1" applyFont="1"/>
    <xf numFmtId="2" fontId="3" fillId="0" borderId="15" xfId="0" applyNumberFormat="1" applyFont="1" applyBorder="1"/>
    <xf numFmtId="43" fontId="3" fillId="0" borderId="4" xfId="0" applyNumberFormat="1" applyFont="1" applyBorder="1"/>
    <xf numFmtId="164" fontId="3" fillId="0" borderId="4" xfId="0" applyNumberFormat="1" applyFont="1" applyBorder="1"/>
    <xf numFmtId="164" fontId="3" fillId="0" borderId="0" xfId="0" applyNumberFormat="1" applyFont="1" applyBorder="1" applyAlignment="1">
      <alignment horizontal="center"/>
    </xf>
    <xf numFmtId="43" fontId="3" fillId="0" borderId="15" xfId="0" applyNumberFormat="1" applyFont="1" applyBorder="1"/>
    <xf numFmtId="9" fontId="3" fillId="0" borderId="0" xfId="0" applyNumberFormat="1" applyFont="1"/>
    <xf numFmtId="2" fontId="9" fillId="0" borderId="15" xfId="0" applyNumberFormat="1" applyFont="1" applyBorder="1"/>
    <xf numFmtId="0" fontId="0" fillId="0" borderId="15" xfId="0" applyBorder="1"/>
    <xf numFmtId="0" fontId="3" fillId="0" borderId="15" xfId="0" applyFont="1" applyBorder="1"/>
    <xf numFmtId="164" fontId="3" fillId="0" borderId="4" xfId="0" applyNumberFormat="1" applyFont="1" applyBorder="1" applyAlignment="1">
      <alignment horizontal="center"/>
    </xf>
    <xf numFmtId="14" fontId="11" fillId="2" borderId="0" xfId="0" applyNumberFormat="1" applyFont="1" applyFill="1"/>
    <xf numFmtId="0" fontId="3" fillId="0" borderId="16" xfId="0" applyFont="1" applyBorder="1"/>
    <xf numFmtId="167" fontId="6" fillId="0" borderId="12" xfId="1" applyNumberFormat="1" applyFont="1" applyBorder="1"/>
    <xf numFmtId="164" fontId="11" fillId="2" borderId="0" xfId="0" applyNumberFormat="1" applyFont="1" applyFill="1"/>
    <xf numFmtId="168" fontId="3" fillId="0" borderId="0" xfId="1" applyNumberFormat="1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169" fontId="3" fillId="0" borderId="0" xfId="0" applyNumberFormat="1" applyFont="1"/>
    <xf numFmtId="0" fontId="3" fillId="0" borderId="0" xfId="0" applyFont="1" applyBorder="1" applyAlignment="1">
      <alignment horizontal="center"/>
    </xf>
    <xf numFmtId="0" fontId="15" fillId="0" borderId="0" xfId="0" applyFont="1"/>
    <xf numFmtId="0" fontId="0" fillId="0" borderId="0" xfId="0" applyFill="1"/>
    <xf numFmtId="0" fontId="0" fillId="0" borderId="18" xfId="0" applyFill="1" applyBorder="1"/>
    <xf numFmtId="0" fontId="0" fillId="0" borderId="0" xfId="0" applyFill="1" applyBorder="1"/>
    <xf numFmtId="164" fontId="3" fillId="0" borderId="0" xfId="0" applyNumberFormat="1" applyFont="1" applyBorder="1"/>
    <xf numFmtId="0" fontId="0" fillId="0" borderId="19" xfId="0" applyFont="1" applyFill="1" applyBorder="1"/>
    <xf numFmtId="0" fontId="0" fillId="0" borderId="15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/>
    <xf numFmtId="43" fontId="16" fillId="0" borderId="0" xfId="1" applyFont="1"/>
    <xf numFmtId="14" fontId="0" fillId="0" borderId="0" xfId="0" applyNumberFormat="1"/>
    <xf numFmtId="43" fontId="0" fillId="0" borderId="0" xfId="1" applyFont="1"/>
    <xf numFmtId="43" fontId="17" fillId="0" borderId="0" xfId="1" applyFont="1"/>
    <xf numFmtId="14" fontId="0" fillId="2" borderId="0" xfId="0" applyNumberFormat="1" applyFill="1"/>
    <xf numFmtId="0" fontId="0" fillId="2" borderId="0" xfId="0" applyFill="1"/>
    <xf numFmtId="43" fontId="0" fillId="2" borderId="0" xfId="1" applyFont="1" applyFill="1"/>
    <xf numFmtId="0" fontId="18" fillId="2" borderId="0" xfId="0" applyFont="1" applyFill="1"/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</cellXfs>
  <cellStyles count="3">
    <cellStyle name="Millares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32</xdr:col>
      <xdr:colOff>6350</xdr:colOff>
      <xdr:row>2</xdr:row>
      <xdr:rowOff>232549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531285</xdr:colOff>
      <xdr:row>0</xdr:row>
      <xdr:rowOff>95250</xdr:rowOff>
    </xdr:from>
    <xdr:to>
      <xdr:col>9</xdr:col>
      <xdr:colOff>1028700</xdr:colOff>
      <xdr:row>2</xdr:row>
      <xdr:rowOff>232549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285" y="95250"/>
          <a:ext cx="6688665" cy="416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2:AH64"/>
  <sheetViews>
    <sheetView topLeftCell="A16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8.54296875" style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70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380160100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45667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71</v>
      </c>
      <c r="D12" s="7"/>
      <c r="F12" s="18">
        <v>335.85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72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73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11881.9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0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6"/>
      <c r="B29" s="36" t="s">
        <v>74</v>
      </c>
      <c r="C29" s="37" t="s">
        <v>75</v>
      </c>
      <c r="D29" s="38"/>
      <c r="E29" s="38"/>
      <c r="F29" s="38"/>
      <c r="G29" s="38"/>
      <c r="H29" s="39"/>
      <c r="I29" s="40">
        <f>335.85*36.6243</f>
        <v>12300.271155</v>
      </c>
      <c r="J29" s="41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6"/>
      <c r="B30" s="42" t="s">
        <v>76</v>
      </c>
      <c r="C30" s="43" t="s">
        <v>77</v>
      </c>
      <c r="F30" s="38"/>
      <c r="G30" s="38"/>
      <c r="H30" s="39"/>
      <c r="I30" s="40"/>
      <c r="J30" s="40">
        <f>+I29+I30</f>
        <v>12300.271155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42"/>
      <c r="C31" s="43"/>
      <c r="H31" s="39"/>
      <c r="I31" s="40"/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"/>
      <c r="C32" s="47"/>
      <c r="D32" s="48"/>
      <c r="E32" s="48"/>
      <c r="F32" s="48"/>
      <c r="G32" s="48"/>
      <c r="H32" s="39"/>
      <c r="I32" s="40"/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43"/>
      <c r="D33" s="48"/>
      <c r="E33" s="48"/>
      <c r="F33" s="48"/>
      <c r="G33" s="48"/>
      <c r="I33" s="5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6"/>
      <c r="B35" s="53"/>
      <c r="C35" s="54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5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5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"/>
      <c r="C38" s="47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47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54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3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12300.271155</v>
      </c>
      <c r="J42" s="57">
        <f>SUM(J29:J41)</f>
        <v>12300.271155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2:AH64"/>
  <sheetViews>
    <sheetView zoomScaleNormal="100" zoomScaleSheetLayoutView="128" workbookViewId="0">
      <selection activeCell="C23" sqref="C23:J25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70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393392890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45677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78</v>
      </c>
      <c r="D12" s="7"/>
      <c r="F12" s="18">
        <v>310.5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79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80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10985.06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0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6"/>
      <c r="B29" s="36" t="s">
        <v>81</v>
      </c>
      <c r="C29" s="37" t="s">
        <v>82</v>
      </c>
      <c r="D29" s="38"/>
      <c r="E29" s="38"/>
      <c r="F29" s="38"/>
      <c r="G29" s="38"/>
      <c r="H29" s="39"/>
      <c r="I29" s="40">
        <f>310.5*36.6243</f>
        <v>11371.845149999999</v>
      </c>
      <c r="J29" s="41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6"/>
      <c r="B30" s="42" t="s">
        <v>76</v>
      </c>
      <c r="C30" s="43" t="s">
        <v>77</v>
      </c>
      <c r="F30" s="38"/>
      <c r="G30" s="38"/>
      <c r="H30" s="39"/>
      <c r="I30" s="40"/>
      <c r="J30" s="40">
        <f>+I29+I30</f>
        <v>11371.845149999999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42"/>
      <c r="C31" s="43"/>
      <c r="H31" s="39"/>
      <c r="I31" s="40"/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"/>
      <c r="C32" s="47"/>
      <c r="D32" s="48"/>
      <c r="E32" s="48"/>
      <c r="F32" s="48"/>
      <c r="G32" s="48"/>
      <c r="H32" s="39"/>
      <c r="I32" s="40"/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43"/>
      <c r="D33" s="48"/>
      <c r="E33" s="48"/>
      <c r="F33" s="48"/>
      <c r="G33" s="48"/>
      <c r="I33" s="5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6"/>
      <c r="B35" s="53"/>
      <c r="C35" s="54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5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5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"/>
      <c r="C38" s="47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47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54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3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11371.845149999999</v>
      </c>
      <c r="J42" s="57">
        <f>SUM(J29:J41)</f>
        <v>11371.845149999999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2:AH64"/>
  <sheetViews>
    <sheetView topLeftCell="A22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70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396845300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45679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83</v>
      </c>
      <c r="D12" s="7"/>
      <c r="F12" s="18">
        <v>40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84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85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1415.14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0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6"/>
      <c r="B29" s="36" t="s">
        <v>86</v>
      </c>
      <c r="C29" s="37" t="s">
        <v>87</v>
      </c>
      <c r="D29" s="38"/>
      <c r="E29" s="38"/>
      <c r="F29" s="38"/>
      <c r="G29" s="38"/>
      <c r="H29" s="39"/>
      <c r="I29" s="40">
        <f>40*36.6243</f>
        <v>1464.972</v>
      </c>
      <c r="J29" s="41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6"/>
      <c r="B30" s="42" t="s">
        <v>76</v>
      </c>
      <c r="C30" s="43" t="s">
        <v>77</v>
      </c>
      <c r="F30" s="38"/>
      <c r="G30" s="38"/>
      <c r="H30" s="39"/>
      <c r="I30" s="40"/>
      <c r="J30" s="40">
        <f>+I29+I30</f>
        <v>1464.972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42"/>
      <c r="C31" s="43"/>
      <c r="H31" s="39"/>
      <c r="I31" s="40"/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"/>
      <c r="C32" s="47"/>
      <c r="D32" s="48"/>
      <c r="E32" s="48"/>
      <c r="F32" s="48"/>
      <c r="G32" s="48"/>
      <c r="H32" s="39"/>
      <c r="I32" s="40"/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43"/>
      <c r="D33" s="48"/>
      <c r="E33" s="48"/>
      <c r="F33" s="48"/>
      <c r="G33" s="48"/>
      <c r="I33" s="5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6"/>
      <c r="B35" s="53"/>
      <c r="C35" s="54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5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5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"/>
      <c r="C38" s="47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47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54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3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1464.972</v>
      </c>
      <c r="J42" s="57">
        <f>SUM(J29:J41)</f>
        <v>1464.972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2:AH64"/>
  <sheetViews>
    <sheetView topLeftCell="A19" zoomScaleNormal="100" zoomScaleSheetLayoutView="128" workbookViewId="0">
      <selection activeCell="B29" sqref="B29:C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70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398981183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45680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83</v>
      </c>
      <c r="D12" s="7"/>
      <c r="F12" s="18">
        <v>800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88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89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28302.880000000001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0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6"/>
      <c r="B29" s="36" t="s">
        <v>81</v>
      </c>
      <c r="C29" s="37" t="s">
        <v>82</v>
      </c>
      <c r="D29" s="38"/>
      <c r="E29" s="38"/>
      <c r="F29" s="38"/>
      <c r="G29" s="38"/>
      <c r="H29" s="39"/>
      <c r="I29" s="40">
        <f>800*36.6243</f>
        <v>29299.439999999999</v>
      </c>
      <c r="J29" s="41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6"/>
      <c r="B30" s="42" t="s">
        <v>76</v>
      </c>
      <c r="C30" s="43" t="s">
        <v>77</v>
      </c>
      <c r="F30" s="38"/>
      <c r="G30" s="38"/>
      <c r="H30" s="39"/>
      <c r="I30" s="40"/>
      <c r="J30" s="40">
        <f>+I29+I30</f>
        <v>29299.439999999999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42"/>
      <c r="C31" s="43"/>
      <c r="H31" s="39"/>
      <c r="I31" s="40"/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"/>
      <c r="C32" s="47"/>
      <c r="D32" s="48"/>
      <c r="E32" s="48"/>
      <c r="F32" s="48"/>
      <c r="G32" s="48"/>
      <c r="H32" s="39"/>
      <c r="I32" s="40"/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43"/>
      <c r="D33" s="48"/>
      <c r="E33" s="48"/>
      <c r="F33" s="48"/>
      <c r="G33" s="48"/>
      <c r="I33" s="5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6"/>
      <c r="B35" s="53"/>
      <c r="C35" s="54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5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5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"/>
      <c r="C38" s="47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47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54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3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29299.439999999999</v>
      </c>
      <c r="J42" s="57">
        <f>SUM(J29:J41)</f>
        <v>29299.439999999999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2:AH64"/>
  <sheetViews>
    <sheetView topLeftCell="A19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70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406538826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83</v>
      </c>
      <c r="D12" s="7"/>
      <c r="F12" s="18">
        <v>137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91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90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4846.87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0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6"/>
      <c r="B29" s="36" t="s">
        <v>86</v>
      </c>
      <c r="C29" s="37" t="s">
        <v>87</v>
      </c>
      <c r="D29" s="38"/>
      <c r="E29" s="38"/>
      <c r="F29" s="38"/>
      <c r="G29" s="38"/>
      <c r="H29" s="39"/>
      <c r="I29" s="40">
        <f>137*36.6243</f>
        <v>5017.5290999999997</v>
      </c>
      <c r="J29" s="41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6"/>
      <c r="B30" s="42" t="s">
        <v>76</v>
      </c>
      <c r="C30" s="43" t="s">
        <v>77</v>
      </c>
      <c r="F30" s="38"/>
      <c r="G30" s="38"/>
      <c r="H30" s="39"/>
      <c r="I30" s="40"/>
      <c r="J30" s="40">
        <f>+I29+I30</f>
        <v>5017.5290999999997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42"/>
      <c r="C31" s="43"/>
      <c r="H31" s="39"/>
      <c r="I31" s="40"/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"/>
      <c r="C32" s="47"/>
      <c r="D32" s="48"/>
      <c r="E32" s="48"/>
      <c r="F32" s="48"/>
      <c r="G32" s="48"/>
      <c r="H32" s="39"/>
      <c r="I32" s="40"/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43"/>
      <c r="D33" s="48"/>
      <c r="E33" s="48"/>
      <c r="F33" s="48"/>
      <c r="G33" s="48"/>
      <c r="I33" s="5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6"/>
      <c r="B35" s="53"/>
      <c r="C35" s="54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5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5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"/>
      <c r="C38" s="47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47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54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3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5017.5290999999997</v>
      </c>
      <c r="J42" s="57">
        <f>SUM(J29:J41)</f>
        <v>5017.5290999999997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13" zoomScaleNormal="100" zoomScaleSheetLayoutView="128" workbookViewId="0">
      <selection activeCell="J10" sqref="J1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369373302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45659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93</v>
      </c>
      <c r="D12" s="7"/>
      <c r="F12" s="18">
        <v>20692.73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94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95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732079.82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1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71" t="s">
        <v>159</v>
      </c>
      <c r="C29" s="68" t="s">
        <v>160</v>
      </c>
      <c r="D29" s="38"/>
      <c r="E29" s="38"/>
      <c r="F29" s="38"/>
      <c r="G29" s="38"/>
      <c r="H29" s="39"/>
      <c r="I29" s="40">
        <v>18312.150000000001</v>
      </c>
      <c r="J29" s="41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42" t="s">
        <v>96</v>
      </c>
      <c r="C30" s="69" t="s">
        <v>97</v>
      </c>
      <c r="F30" s="38"/>
      <c r="G30" s="38"/>
      <c r="H30" s="39"/>
      <c r="I30" s="40">
        <v>2746.82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2" t="s">
        <v>98</v>
      </c>
      <c r="C31" t="s">
        <v>99</v>
      </c>
      <c r="H31" s="39"/>
      <c r="I31" s="40"/>
      <c r="J31" s="45">
        <f>+I29*2%</f>
        <v>366.24300000000005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 t="s">
        <v>100</v>
      </c>
      <c r="C32" s="67" t="s">
        <v>101</v>
      </c>
      <c r="D32" s="48"/>
      <c r="E32" s="48"/>
      <c r="F32" s="48"/>
      <c r="G32" s="48"/>
      <c r="H32" s="39"/>
      <c r="I32" s="40"/>
      <c r="J32" s="49">
        <f>+I29+I30-J31</f>
        <v>20692.727000000003</v>
      </c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5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53"/>
      <c r="C35" s="48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21058.97</v>
      </c>
      <c r="J42" s="57">
        <f>SUM(J29:J41)</f>
        <v>21058.97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16" zoomScaleNormal="100" zoomScaleSheetLayoutView="128" workbookViewId="0">
      <selection activeCell="I29" sqref="I29:J35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371450988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45660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102</v>
      </c>
      <c r="D12" s="7"/>
      <c r="F12" s="18">
        <v>101561.64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103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104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3593108.64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4" t="s">
        <v>7</v>
      </c>
      <c r="C28" s="111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71" t="s">
        <v>105</v>
      </c>
      <c r="C29" s="68" t="s">
        <v>106</v>
      </c>
      <c r="D29" s="38"/>
      <c r="E29" s="38"/>
      <c r="F29" s="38"/>
      <c r="G29" s="38"/>
      <c r="H29" s="39"/>
      <c r="I29" s="40">
        <v>0</v>
      </c>
      <c r="J29" s="40">
        <v>8401.6200000000008</v>
      </c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42" t="s">
        <v>96</v>
      </c>
      <c r="C30" s="69" t="s">
        <v>97</v>
      </c>
      <c r="F30" s="38"/>
      <c r="G30" s="38"/>
      <c r="H30" s="39"/>
      <c r="I30" s="40"/>
      <c r="J30" s="40">
        <f>1079.23+319.73+219.6+817.81+63.69</f>
        <v>2500.06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2" t="s">
        <v>98</v>
      </c>
      <c r="C31" t="s">
        <v>99</v>
      </c>
      <c r="H31" s="39"/>
      <c r="I31" s="40">
        <v>1311.23</v>
      </c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 t="s">
        <v>107</v>
      </c>
      <c r="C32" s="67" t="s">
        <v>108</v>
      </c>
      <c r="D32" s="48"/>
      <c r="E32" s="48"/>
      <c r="F32" s="48"/>
      <c r="G32" s="48"/>
      <c r="H32" s="39"/>
      <c r="I32" s="40">
        <v>15887.48</v>
      </c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 t="s">
        <v>109</v>
      </c>
      <c r="C33" s="69" t="s">
        <v>110</v>
      </c>
      <c r="D33" s="48"/>
      <c r="E33" s="48"/>
      <c r="F33" s="48"/>
      <c r="G33" s="48"/>
      <c r="I33" s="40">
        <v>7658.36</v>
      </c>
      <c r="J33" s="51"/>
      <c r="L33" s="44"/>
      <c r="R33" s="14"/>
      <c r="S33" s="14"/>
      <c r="AG33" s="38"/>
    </row>
    <row r="34" spans="1:33" ht="14.5" customHeight="1" x14ac:dyDescent="0.35">
      <c r="B34" s="52" t="s">
        <v>111</v>
      </c>
      <c r="C34" t="s">
        <v>112</v>
      </c>
      <c r="H34" s="6"/>
      <c r="I34" s="40">
        <f>79204.63+5280.31+3121.31</f>
        <v>87606.25</v>
      </c>
      <c r="J34" s="40"/>
      <c r="L34" s="44"/>
    </row>
    <row r="35" spans="1:33" ht="14.5" customHeight="1" x14ac:dyDescent="0.35">
      <c r="A35" s="38"/>
      <c r="B35" s="72" t="s">
        <v>100</v>
      </c>
      <c r="C35" s="67" t="s">
        <v>101</v>
      </c>
      <c r="H35" s="6"/>
      <c r="I35" s="40"/>
      <c r="J35" s="40">
        <v>101561.64</v>
      </c>
      <c r="L35" s="29"/>
      <c r="M35" s="30"/>
      <c r="N35" s="55"/>
    </row>
    <row r="36" spans="1:33" ht="14.5" customHeight="1" x14ac:dyDescent="0.35">
      <c r="B36" s="53"/>
      <c r="C36" s="38"/>
      <c r="H36" s="6"/>
      <c r="I36" s="40">
        <v>0</v>
      </c>
      <c r="J36" s="40">
        <v>0</v>
      </c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112463.32</v>
      </c>
      <c r="J42" s="57">
        <f>SUM(J29:J41)</f>
        <v>112463.32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10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371480548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45660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102</v>
      </c>
      <c r="D12" s="7"/>
      <c r="F12" s="18">
        <v>10627.89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113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114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375999.87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115</v>
      </c>
      <c r="C29" s="69" t="s">
        <v>116</v>
      </c>
      <c r="D29" s="38"/>
      <c r="E29" s="38"/>
      <c r="F29" s="38"/>
      <c r="G29" s="38"/>
      <c r="H29" s="39"/>
      <c r="I29" s="40">
        <v>10627.89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100</v>
      </c>
      <c r="C30" s="67" t="s">
        <v>101</v>
      </c>
      <c r="F30" s="38"/>
      <c r="G30" s="38"/>
      <c r="H30" s="39"/>
      <c r="I30" s="40"/>
      <c r="J30" s="40">
        <f>+I29</f>
        <v>10627.89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5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9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51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10627.89</v>
      </c>
      <c r="J42" s="57">
        <f>SUM(J29:J41)</f>
        <v>10627.89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I30" sqref="I30:J32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371484651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45660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117</v>
      </c>
      <c r="D12" s="7"/>
      <c r="F12" s="18">
        <v>36132.5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118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120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1278317.26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/>
      <c r="C29" s="69"/>
      <c r="D29" s="38"/>
      <c r="E29" s="38"/>
      <c r="F29" s="38"/>
      <c r="G29" s="38"/>
      <c r="H29" s="39"/>
      <c r="I29" s="40"/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119</v>
      </c>
      <c r="C30" s="67" t="s">
        <v>117</v>
      </c>
      <c r="F30" s="38"/>
      <c r="G30" s="38"/>
      <c r="H30" s="39"/>
      <c r="I30" s="40">
        <v>35525.57</v>
      </c>
      <c r="J30" s="40">
        <f>+I29</f>
        <v>0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100</v>
      </c>
      <c r="C31" s="67" t="s">
        <v>101</v>
      </c>
      <c r="H31" s="39"/>
      <c r="I31" s="40"/>
      <c r="J31" s="40">
        <v>36132.5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 t="s">
        <v>121</v>
      </c>
      <c r="C32" s="67" t="s">
        <v>122</v>
      </c>
      <c r="D32" s="48"/>
      <c r="E32" s="48"/>
      <c r="F32" s="48"/>
      <c r="G32" s="48"/>
      <c r="H32" s="39"/>
      <c r="I32" s="40">
        <v>606.92999999999995</v>
      </c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36132.5</v>
      </c>
      <c r="J42" s="57">
        <f>SUM(J29:J41)</f>
        <v>36132.5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I64"/>
  <sheetViews>
    <sheetView topLeftCell="A25" zoomScaleNormal="100" zoomScaleSheetLayoutView="128" workbookViewId="0">
      <selection activeCell="G40" sqref="G4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35" ht="7.5" customHeight="1" x14ac:dyDescent="0.35"/>
    <row r="3" spans="2:3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3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3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374479114</v>
      </c>
    </row>
    <row r="6" spans="2:35" ht="14.5" customHeight="1" thickBot="1" x14ac:dyDescent="0.4">
      <c r="C6" s="106"/>
      <c r="D6" s="106"/>
      <c r="E6" s="106"/>
      <c r="F6" s="106"/>
      <c r="G6" s="106"/>
      <c r="H6" s="106"/>
    </row>
    <row r="7" spans="2:3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35" ht="14.5" customHeight="1" x14ac:dyDescent="0.35">
      <c r="B8" s="5"/>
      <c r="J8" s="6"/>
      <c r="AI8" s="1">
        <f>42.46*37.2</f>
        <v>1579.5120000000002</v>
      </c>
    </row>
    <row r="9" spans="2:35" ht="14.5" customHeight="1" x14ac:dyDescent="0.35">
      <c r="B9" s="5"/>
      <c r="J9" s="6"/>
    </row>
    <row r="10" spans="2:3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45663</v>
      </c>
    </row>
    <row r="11" spans="2:3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35" ht="14.5" customHeight="1" x14ac:dyDescent="0.35">
      <c r="B12" s="5"/>
      <c r="C12" s="17" t="s">
        <v>124</v>
      </c>
      <c r="D12" s="7"/>
      <c r="F12" s="18">
        <v>8324.76</v>
      </c>
      <c r="G12" s="19"/>
      <c r="H12" s="19"/>
      <c r="I12" s="7"/>
      <c r="J12" s="20"/>
      <c r="K12" s="14"/>
      <c r="M12" s="14"/>
      <c r="N12" s="14"/>
    </row>
    <row r="13" spans="2:35" ht="14.5" customHeight="1" x14ac:dyDescent="0.35">
      <c r="B13" s="5"/>
      <c r="H13" s="7"/>
      <c r="I13" s="7"/>
      <c r="J13" s="20"/>
      <c r="K13" s="14"/>
      <c r="M13" s="14"/>
      <c r="N13" s="14"/>
    </row>
    <row r="14" spans="2:35" ht="14.5" customHeight="1" x14ac:dyDescent="0.35">
      <c r="B14" s="5"/>
      <c r="H14" s="7"/>
      <c r="J14" s="6"/>
      <c r="K14" s="14"/>
      <c r="M14" s="14"/>
      <c r="N14" s="14"/>
      <c r="O14" s="14"/>
    </row>
    <row r="15" spans="2:35" ht="14.5" customHeight="1" x14ac:dyDescent="0.35">
      <c r="B15" s="5"/>
      <c r="C15" s="21" t="s">
        <v>125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3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123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294518.34999999998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126</v>
      </c>
      <c r="C29" s="69" t="s">
        <v>127</v>
      </c>
      <c r="D29" s="38"/>
      <c r="E29" s="38"/>
      <c r="F29" s="38"/>
      <c r="G29" s="38"/>
      <c r="H29" s="39"/>
      <c r="I29" s="40">
        <v>3858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128</v>
      </c>
      <c r="C30" s="67" t="s">
        <v>129</v>
      </c>
      <c r="F30" s="38"/>
      <c r="G30" s="38"/>
      <c r="H30" s="39"/>
      <c r="I30" s="40">
        <v>192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130</v>
      </c>
      <c r="C31" s="67" t="s">
        <v>131</v>
      </c>
      <c r="H31" s="39"/>
      <c r="I31" s="40">
        <v>1050</v>
      </c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 t="s">
        <v>132</v>
      </c>
      <c r="C32" s="67" t="s">
        <v>133</v>
      </c>
      <c r="D32" s="48"/>
      <c r="E32" s="48"/>
      <c r="F32" s="48"/>
      <c r="G32" s="48"/>
      <c r="H32" s="39"/>
      <c r="I32" s="40">
        <v>1331.64</v>
      </c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5" ht="14.5" customHeight="1" x14ac:dyDescent="0.35">
      <c r="B33" s="42" t="s">
        <v>134</v>
      </c>
      <c r="C33" s="69" t="s">
        <v>135</v>
      </c>
      <c r="D33" s="48"/>
      <c r="E33" s="48"/>
      <c r="F33" s="48"/>
      <c r="G33" s="48"/>
      <c r="I33" s="40">
        <v>460</v>
      </c>
      <c r="J33" s="40"/>
      <c r="L33" s="44"/>
      <c r="R33" s="14"/>
      <c r="S33" s="14"/>
      <c r="AG33" s="38"/>
    </row>
    <row r="34" spans="1:35" ht="14.5" customHeight="1" x14ac:dyDescent="0.35">
      <c r="B34" s="52" t="s">
        <v>136</v>
      </c>
      <c r="C34" t="s">
        <v>137</v>
      </c>
      <c r="H34" s="6"/>
      <c r="I34" s="40">
        <v>150</v>
      </c>
      <c r="J34" s="40"/>
      <c r="L34" s="44"/>
    </row>
    <row r="35" spans="1:35" ht="14.5" customHeight="1" x14ac:dyDescent="0.35">
      <c r="A35" s="38"/>
      <c r="B35" s="72" t="s">
        <v>138</v>
      </c>
      <c r="C35" s="67" t="s">
        <v>139</v>
      </c>
      <c r="H35" s="6"/>
      <c r="I35" s="40">
        <v>1200</v>
      </c>
      <c r="J35" s="40"/>
      <c r="L35" s="29"/>
      <c r="M35" s="30"/>
      <c r="N35" s="55"/>
    </row>
    <row r="36" spans="1:35" ht="14.5" customHeight="1" x14ac:dyDescent="0.35">
      <c r="B36" s="53" t="s">
        <v>96</v>
      </c>
      <c r="C36" s="38" t="s">
        <v>97</v>
      </c>
      <c r="H36" s="6"/>
      <c r="I36" s="40">
        <f>19.44+63.68</f>
        <v>83.12</v>
      </c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5" ht="14.5" customHeight="1" x14ac:dyDescent="0.35">
      <c r="B37" s="53" t="s">
        <v>100</v>
      </c>
      <c r="C37" s="38" t="s">
        <v>101</v>
      </c>
      <c r="D37" s="38"/>
      <c r="H37" s="6"/>
      <c r="I37" s="40"/>
      <c r="J37" s="40">
        <f>SUM(I29:I36)</f>
        <v>8324.76</v>
      </c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5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  <c r="AI38" s="14"/>
    </row>
    <row r="39" spans="1:35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5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5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5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8324.76</v>
      </c>
      <c r="J42" s="57">
        <f>SUM(J29:J41)</f>
        <v>8324.76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5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5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5" ht="14.5" customHeight="1" x14ac:dyDescent="0.35">
      <c r="N45" s="50"/>
      <c r="P45" s="59"/>
    </row>
    <row r="46" spans="1:35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5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5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19" zoomScaleNormal="100" zoomScaleSheetLayoutView="128" workbookViewId="0">
      <selection activeCell="I29" sqref="I29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374479207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45663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140</v>
      </c>
      <c r="D12" s="7"/>
      <c r="F12" s="18">
        <v>18103.5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141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142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640476.49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143</v>
      </c>
      <c r="C29" s="69" t="s">
        <v>144</v>
      </c>
      <c r="D29" s="38"/>
      <c r="E29" s="38"/>
      <c r="F29" s="38"/>
      <c r="G29" s="38"/>
      <c r="H29" s="39"/>
      <c r="I29" s="40">
        <f>486*36.6243</f>
        <v>17799.409799999998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F30" s="38"/>
      <c r="G30" s="38"/>
      <c r="H30" s="39"/>
      <c r="I30" s="40"/>
      <c r="J30" s="40">
        <v>18103.5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121</v>
      </c>
      <c r="C31" s="67" t="s">
        <v>122</v>
      </c>
      <c r="H31" s="39"/>
      <c r="I31" s="40">
        <v>304.08999999999997</v>
      </c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18103.499799999998</v>
      </c>
      <c r="J42" s="57">
        <f>SUM(J29:J41)</f>
        <v>18103.5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2.0000000222353265E-4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0"/>
      <c r="H46" s="61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1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4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374479311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45663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102</v>
      </c>
      <c r="D12" s="7"/>
      <c r="F12" s="18">
        <v>75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145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146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2653.4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115</v>
      </c>
      <c r="C29" s="69" t="s">
        <v>116</v>
      </c>
      <c r="D29" s="38"/>
      <c r="E29" s="38"/>
      <c r="F29" s="38"/>
      <c r="G29" s="38"/>
      <c r="H29" s="39"/>
      <c r="I29" s="40">
        <v>75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F30" s="38"/>
      <c r="G30" s="38"/>
      <c r="H30" s="39"/>
      <c r="I30" s="40"/>
      <c r="J30" s="40">
        <v>75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75</v>
      </c>
      <c r="J42" s="57">
        <f>SUM(J29:J41)</f>
        <v>75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2"/>
      <c r="H46" s="65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2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5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377505670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45665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147</v>
      </c>
      <c r="D12" s="7"/>
      <c r="F12" s="18">
        <v>990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148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149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35024.81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126</v>
      </c>
      <c r="C29" s="69" t="s">
        <v>127</v>
      </c>
      <c r="D29" s="38"/>
      <c r="E29" s="38"/>
      <c r="F29" s="38"/>
      <c r="G29" s="38"/>
      <c r="H29" s="39"/>
      <c r="I29" s="40">
        <v>990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F30" s="38"/>
      <c r="G30" s="38"/>
      <c r="H30" s="39"/>
      <c r="I30" s="40"/>
      <c r="J30" s="40">
        <f>+I29</f>
        <v>990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70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990</v>
      </c>
      <c r="J42" s="57">
        <f>SUM(J29:J41)</f>
        <v>990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2"/>
      <c r="H46" s="65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2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5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28" zoomScaleNormal="100" zoomScaleSheetLayoutView="128" workbookViewId="0">
      <selection activeCell="AH35" sqref="AH35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379260931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124</v>
      </c>
      <c r="D12" s="7"/>
      <c r="F12" s="18">
        <v>8591.15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150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151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303942.86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136</v>
      </c>
      <c r="C29" s="69" t="s">
        <v>137</v>
      </c>
      <c r="D29" s="38"/>
      <c r="E29" s="38"/>
      <c r="F29" s="38"/>
      <c r="G29" s="38"/>
      <c r="H29" s="39"/>
      <c r="I29" s="40"/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115</v>
      </c>
      <c r="C30" s="38" t="s">
        <v>152</v>
      </c>
      <c r="F30" s="38"/>
      <c r="G30" s="38"/>
      <c r="H30" s="39"/>
      <c r="I30" s="40">
        <v>2094.8200000000002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340</v>
      </c>
      <c r="C31" s="67" t="s">
        <v>341</v>
      </c>
      <c r="H31" s="39"/>
      <c r="I31" s="40">
        <v>17.95</v>
      </c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 t="s">
        <v>155</v>
      </c>
      <c r="C32" s="67" t="s">
        <v>156</v>
      </c>
      <c r="D32" s="48"/>
      <c r="E32" s="48"/>
      <c r="F32" s="48"/>
      <c r="G32" s="48"/>
      <c r="H32" s="39"/>
      <c r="I32" s="40">
        <v>385.11</v>
      </c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 t="s">
        <v>136</v>
      </c>
      <c r="C33" s="69" t="s">
        <v>137</v>
      </c>
      <c r="D33" s="48"/>
      <c r="E33" s="48"/>
      <c r="F33" s="48"/>
      <c r="G33" s="48"/>
      <c r="I33" s="40">
        <v>80</v>
      </c>
      <c r="J33" s="40"/>
      <c r="L33" s="44"/>
      <c r="R33" s="14"/>
      <c r="S33" s="14"/>
      <c r="AG33" s="38"/>
    </row>
    <row r="34" spans="1:33" ht="14.5" customHeight="1" x14ac:dyDescent="0.35">
      <c r="B34" s="52" t="s">
        <v>157</v>
      </c>
      <c r="C34" t="s">
        <v>158</v>
      </c>
      <c r="H34" s="6"/>
      <c r="I34" s="40">
        <v>301.14</v>
      </c>
      <c r="J34" s="40"/>
      <c r="L34" s="44"/>
    </row>
    <row r="35" spans="1:33" ht="14.5" customHeight="1" x14ac:dyDescent="0.35">
      <c r="A35" s="38"/>
      <c r="B35" s="72" t="s">
        <v>134</v>
      </c>
      <c r="C35" s="67" t="s">
        <v>135</v>
      </c>
      <c r="H35" s="6"/>
      <c r="I35" s="40">
        <v>5222</v>
      </c>
      <c r="J35" s="40"/>
      <c r="L35" s="29"/>
      <c r="M35" s="30"/>
      <c r="N35" s="55"/>
    </row>
    <row r="36" spans="1:33" ht="14.5" customHeight="1" x14ac:dyDescent="0.35">
      <c r="B36" s="53" t="s">
        <v>138</v>
      </c>
      <c r="C36" s="38" t="s">
        <v>139</v>
      </c>
      <c r="H36" s="6"/>
      <c r="I36" s="40">
        <v>450</v>
      </c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 t="s">
        <v>96</v>
      </c>
      <c r="C37" s="38" t="s">
        <v>97</v>
      </c>
      <c r="D37" s="38"/>
      <c r="H37" s="6"/>
      <c r="I37" s="40">
        <v>40.24</v>
      </c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 t="s">
        <v>121</v>
      </c>
      <c r="C38" s="70" t="s">
        <v>122</v>
      </c>
      <c r="D38" s="38"/>
      <c r="H38" s="6"/>
      <c r="I38" s="40"/>
      <c r="J38" s="40">
        <v>0.11</v>
      </c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 t="s">
        <v>100</v>
      </c>
      <c r="C39" s="38" t="s">
        <v>101</v>
      </c>
      <c r="D39" s="38"/>
      <c r="H39" s="6"/>
      <c r="I39" s="40"/>
      <c r="J39" s="40">
        <f>+F12</f>
        <v>8591.15</v>
      </c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8591.26</v>
      </c>
      <c r="J42" s="57">
        <f>SUM(J29:J41)</f>
        <v>8591.26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62"/>
      <c r="H46" s="65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62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65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19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380966161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45667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140</v>
      </c>
      <c r="D12" s="7"/>
      <c r="F12" s="18">
        <v>7534.6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163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164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266563.59999999998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143</v>
      </c>
      <c r="C29" s="69" t="s">
        <v>144</v>
      </c>
      <c r="D29" s="38"/>
      <c r="E29" s="38"/>
      <c r="F29" s="38"/>
      <c r="G29" s="38"/>
      <c r="H29" s="39"/>
      <c r="I29" s="40">
        <f>+J30</f>
        <v>7534.6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F30" s="38"/>
      <c r="G30" s="38"/>
      <c r="H30" s="39"/>
      <c r="I30" s="40"/>
      <c r="J30" s="40">
        <f>+F12</f>
        <v>7534.6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7534.6</v>
      </c>
      <c r="J42" s="57">
        <f>SUM(J29:J41)</f>
        <v>7534.6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6"/>
      <c r="H46" s="75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6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5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22" zoomScaleNormal="100" zoomScaleSheetLayoutView="128" workbookViewId="0">
      <selection activeCell="B29" sqref="B29:C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384845796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124</v>
      </c>
      <c r="D12" s="7"/>
      <c r="F12" s="18">
        <v>4130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165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166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146113.62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143</v>
      </c>
      <c r="C29" s="69" t="s">
        <v>144</v>
      </c>
      <c r="D29" s="38"/>
      <c r="E29" s="38"/>
      <c r="F29" s="38"/>
      <c r="G29" s="38"/>
      <c r="H29" s="39"/>
      <c r="I29" s="40">
        <f>+J30</f>
        <v>4130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F30" s="38"/>
      <c r="G30" s="38"/>
      <c r="H30" s="39"/>
      <c r="I30" s="40"/>
      <c r="J30" s="40">
        <f>+F12</f>
        <v>4130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4130</v>
      </c>
      <c r="J42" s="57">
        <f>SUM(J29:J41)</f>
        <v>4130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6"/>
      <c r="H46" s="75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6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5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22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384856368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175</v>
      </c>
      <c r="D12" s="7"/>
      <c r="F12" s="18">
        <v>2367.88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176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182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83772.28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155</v>
      </c>
      <c r="C29" s="69" t="s">
        <v>156</v>
      </c>
      <c r="D29" s="38"/>
      <c r="E29" s="38"/>
      <c r="F29" s="38"/>
      <c r="G29" s="38"/>
      <c r="H29" s="39"/>
      <c r="I29" s="40">
        <v>2367.88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F30" s="38"/>
      <c r="G30" s="38"/>
      <c r="H30" s="39"/>
      <c r="I30" s="40"/>
      <c r="J30" s="40">
        <f>+F12</f>
        <v>2367.88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2367.88</v>
      </c>
      <c r="J42" s="57">
        <f>SUM(J29:J41)</f>
        <v>2367.88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16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384866882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177</v>
      </c>
      <c r="D12" s="7"/>
      <c r="F12" s="18">
        <v>6483.23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178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179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229367.6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180</v>
      </c>
      <c r="C29" s="69" t="s">
        <v>181</v>
      </c>
      <c r="D29" s="38"/>
      <c r="E29" s="38"/>
      <c r="F29" s="38"/>
      <c r="G29" s="38"/>
      <c r="H29" s="39"/>
      <c r="I29" s="40">
        <v>6483.23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F30" s="38"/>
      <c r="G30" s="38"/>
      <c r="H30" s="39"/>
      <c r="I30" s="40"/>
      <c r="J30" s="40">
        <f>+F12</f>
        <v>6483.23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6483.23</v>
      </c>
      <c r="J42" s="57">
        <f>SUM(J29:J41)</f>
        <v>6483.23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385295801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184</v>
      </c>
      <c r="D12" s="7"/>
      <c r="F12" s="18">
        <v>27974.89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185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186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989712.44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187</v>
      </c>
      <c r="C29" s="69" t="s">
        <v>188</v>
      </c>
      <c r="D29" s="38"/>
      <c r="E29" s="38"/>
      <c r="F29" s="38"/>
      <c r="G29" s="38"/>
      <c r="H29" s="39"/>
      <c r="I29" s="40">
        <v>31083.21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107</v>
      </c>
      <c r="C30" s="38" t="s">
        <v>108</v>
      </c>
      <c r="D30" s="38"/>
      <c r="F30" s="38"/>
      <c r="G30" s="38"/>
      <c r="H30" s="39"/>
      <c r="I30" s="40"/>
      <c r="J30" s="40">
        <v>3108.32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100</v>
      </c>
      <c r="C31" s="67" t="s">
        <v>101</v>
      </c>
      <c r="H31" s="39"/>
      <c r="I31" s="40"/>
      <c r="J31" s="40">
        <f>+F12</f>
        <v>27974.89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31083.21</v>
      </c>
      <c r="J42" s="57">
        <f>SUM(J29:J41)</f>
        <v>31083.21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385295937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194</v>
      </c>
      <c r="D12" s="7"/>
      <c r="F12" s="18">
        <v>1875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193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190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66334.880000000005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191</v>
      </c>
      <c r="C29" s="69" t="s">
        <v>192</v>
      </c>
      <c r="D29" s="38"/>
      <c r="E29" s="38"/>
      <c r="F29" s="38"/>
      <c r="G29" s="38"/>
      <c r="H29" s="39"/>
      <c r="I29" s="40">
        <v>1875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100</v>
      </c>
      <c r="C30" s="67" t="s">
        <v>101</v>
      </c>
      <c r="D30" s="38"/>
      <c r="F30" s="38"/>
      <c r="G30" s="38"/>
      <c r="H30" s="39"/>
      <c r="I30" s="40"/>
      <c r="J30" s="40">
        <f>+F12</f>
        <v>1875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1875</v>
      </c>
      <c r="J42" s="57">
        <f>SUM(J29:J41)</f>
        <v>1875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B29" sqref="B29:C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385296047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195</v>
      </c>
      <c r="D12" s="7"/>
      <c r="F12" s="18">
        <v>3750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196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197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132669.75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191</v>
      </c>
      <c r="C29" s="69" t="s">
        <v>192</v>
      </c>
      <c r="D29" s="38"/>
      <c r="E29" s="38"/>
      <c r="F29" s="38"/>
      <c r="G29" s="38"/>
      <c r="H29" s="39"/>
      <c r="I29" s="40">
        <v>3750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100</v>
      </c>
      <c r="C30" s="67" t="s">
        <v>101</v>
      </c>
      <c r="D30" s="38"/>
      <c r="F30" s="38"/>
      <c r="G30" s="38"/>
      <c r="H30" s="39"/>
      <c r="I30" s="40"/>
      <c r="J30" s="40">
        <f>+F12</f>
        <v>3750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3750</v>
      </c>
      <c r="J42" s="57">
        <f>SUM(J29:J41)</f>
        <v>3750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385305789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213</v>
      </c>
      <c r="D12" s="7"/>
      <c r="F12" s="18">
        <v>57964.84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214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215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2050714.89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200</v>
      </c>
      <c r="C29" s="69" t="s">
        <v>201</v>
      </c>
      <c r="D29" s="38"/>
      <c r="E29" s="38"/>
      <c r="F29" s="38"/>
      <c r="G29" s="38"/>
      <c r="H29" s="39"/>
      <c r="I29" s="40">
        <v>57964.82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100</v>
      </c>
      <c r="C30" s="67" t="s">
        <v>101</v>
      </c>
      <c r="D30" s="38"/>
      <c r="F30" s="38"/>
      <c r="G30" s="38"/>
      <c r="H30" s="39"/>
      <c r="I30" s="40"/>
      <c r="J30" s="40">
        <f>+F12</f>
        <v>57964.84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189</v>
      </c>
      <c r="C31" s="67" t="s">
        <v>122</v>
      </c>
      <c r="H31" s="39"/>
      <c r="I31" s="40">
        <v>0.02</v>
      </c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57964.84</v>
      </c>
      <c r="J42" s="57">
        <f>SUM(J29:J41)</f>
        <v>57964.84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F37" sqref="F37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385328612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217</v>
      </c>
      <c r="D12" s="7"/>
      <c r="F12" s="18">
        <v>87654.96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218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216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3101109.77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187</v>
      </c>
      <c r="C29" s="69" t="s">
        <v>188</v>
      </c>
      <c r="D29" s="38"/>
      <c r="E29" s="38"/>
      <c r="F29" s="38"/>
      <c r="G29" s="38"/>
      <c r="H29" s="39"/>
      <c r="I29" s="40">
        <v>97394.4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107</v>
      </c>
      <c r="C30" s="38" t="s">
        <v>108</v>
      </c>
      <c r="D30" s="38"/>
      <c r="F30" s="38"/>
      <c r="G30" s="38"/>
      <c r="H30" s="39"/>
      <c r="I30" s="40"/>
      <c r="J30" s="40">
        <v>9739.44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100</v>
      </c>
      <c r="C31" s="67" t="s">
        <v>101</v>
      </c>
      <c r="H31" s="39"/>
      <c r="I31" s="40"/>
      <c r="J31" s="40">
        <f>+F12</f>
        <v>87654.96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97394.4</v>
      </c>
      <c r="J42" s="57">
        <f>SUM(J29:J41)</f>
        <v>97394.400000000009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I30" sqref="I30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385371421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217</v>
      </c>
      <c r="D12" s="7"/>
      <c r="F12" s="18">
        <v>34372.32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221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222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1216044.56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/>
      <c r="C29" s="69"/>
      <c r="D29" s="38"/>
      <c r="E29" s="38"/>
      <c r="F29" s="38"/>
      <c r="G29" s="38"/>
      <c r="H29" s="39"/>
      <c r="I29" s="40"/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74</v>
      </c>
      <c r="C30" s="38" t="s">
        <v>223</v>
      </c>
      <c r="D30" s="38"/>
      <c r="F30" s="38"/>
      <c r="G30" s="38"/>
      <c r="H30" s="39"/>
      <c r="I30" s="40">
        <v>34372.32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100</v>
      </c>
      <c r="C31" s="67" t="s">
        <v>101</v>
      </c>
      <c r="H31" s="39"/>
      <c r="I31" s="40"/>
      <c r="J31" s="40">
        <f>+F12</f>
        <v>34372.32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34372.32</v>
      </c>
      <c r="J42" s="57">
        <f>SUM(J29:J41)</f>
        <v>34372.32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78"/>
      <c r="H46" s="77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78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7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C28:H28"/>
    <mergeCell ref="B3:J3"/>
    <mergeCell ref="B4:J4"/>
    <mergeCell ref="C5:H5"/>
    <mergeCell ref="C6:H6"/>
    <mergeCell ref="C23:J25"/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zoomScaleNormal="100" zoomScaleSheetLayoutView="128" workbookViewId="0">
      <selection activeCell="B30" sqref="B30:C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385403673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45671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184</v>
      </c>
      <c r="D12" s="7"/>
      <c r="F12" s="18">
        <v>41030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226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227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1451583.96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/>
      <c r="C29" s="69"/>
      <c r="D29" s="38"/>
      <c r="E29" s="38"/>
      <c r="F29" s="38"/>
      <c r="G29" s="38"/>
      <c r="H29" s="39"/>
      <c r="I29" s="40"/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119</v>
      </c>
      <c r="C30" s="38" t="s">
        <v>117</v>
      </c>
      <c r="D30" s="38"/>
      <c r="F30" s="38"/>
      <c r="G30" s="38"/>
      <c r="H30" s="39"/>
      <c r="I30" s="40">
        <v>41030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100</v>
      </c>
      <c r="C31" s="67" t="s">
        <v>101</v>
      </c>
      <c r="H31" s="39"/>
      <c r="I31" s="40"/>
      <c r="J31" s="40">
        <f>+F12</f>
        <v>41030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41030</v>
      </c>
      <c r="J42" s="57">
        <f>SUM(J29:J41)</f>
        <v>41030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80"/>
      <c r="H46" s="79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8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9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4" zoomScaleNormal="100" zoomScaleSheetLayoutView="128" workbookViewId="0">
      <selection activeCell="I29" sqref="I29:J3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387650322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124</v>
      </c>
      <c r="D12" s="7"/>
      <c r="F12" s="18">
        <v>7033.94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125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123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248850.95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126</v>
      </c>
      <c r="C29" s="69" t="s">
        <v>127</v>
      </c>
      <c r="D29" s="38"/>
      <c r="E29" s="38"/>
      <c r="F29" s="38"/>
      <c r="G29" s="38"/>
      <c r="H29" s="39"/>
      <c r="I29" s="40">
        <v>1210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115</v>
      </c>
      <c r="C30" s="67" t="s">
        <v>116</v>
      </c>
      <c r="F30" s="38"/>
      <c r="G30" s="38"/>
      <c r="H30" s="39"/>
      <c r="I30" s="40">
        <v>1035.44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228</v>
      </c>
      <c r="C31" s="67" t="s">
        <v>229</v>
      </c>
      <c r="H31" s="39"/>
      <c r="I31" s="40">
        <v>1054.22</v>
      </c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42" t="s">
        <v>134</v>
      </c>
      <c r="C32" s="69" t="s">
        <v>135</v>
      </c>
      <c r="D32" s="48"/>
      <c r="E32" s="48"/>
      <c r="F32" s="48"/>
      <c r="G32" s="48"/>
      <c r="I32" s="40">
        <v>3000</v>
      </c>
      <c r="J32" s="40"/>
      <c r="L32" s="44"/>
      <c r="R32" s="14"/>
      <c r="S32" s="14"/>
      <c r="AG32" s="38"/>
    </row>
    <row r="33" spans="1:29" ht="14.5" customHeight="1" x14ac:dyDescent="0.35">
      <c r="B33" s="52" t="s">
        <v>136</v>
      </c>
      <c r="C33" t="s">
        <v>137</v>
      </c>
      <c r="H33" s="6"/>
      <c r="I33" s="40">
        <v>200</v>
      </c>
      <c r="J33" s="40"/>
      <c r="L33" s="44"/>
    </row>
    <row r="34" spans="1:29" ht="14.5" customHeight="1" x14ac:dyDescent="0.35">
      <c r="A34" s="38"/>
      <c r="B34" s="72" t="s">
        <v>138</v>
      </c>
      <c r="C34" s="67" t="s">
        <v>139</v>
      </c>
      <c r="H34" s="6"/>
      <c r="I34" s="40">
        <v>400</v>
      </c>
      <c r="J34" s="40"/>
      <c r="L34" s="29"/>
      <c r="M34" s="30"/>
      <c r="N34" s="55"/>
    </row>
    <row r="35" spans="1:29" ht="14.5" customHeight="1" x14ac:dyDescent="0.35">
      <c r="B35" s="53" t="s">
        <v>96</v>
      </c>
      <c r="C35" s="38" t="s">
        <v>97</v>
      </c>
      <c r="H35" s="6"/>
      <c r="I35" s="40">
        <v>134.28</v>
      </c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 t="s">
        <v>100</v>
      </c>
      <c r="C36" s="38" t="s">
        <v>101</v>
      </c>
      <c r="D36" s="38"/>
      <c r="H36" s="6"/>
      <c r="I36" s="40"/>
      <c r="J36" s="40">
        <f>+F12</f>
        <v>7033.94</v>
      </c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7033.94</v>
      </c>
      <c r="J41" s="57">
        <f>SUM(J29:J40)</f>
        <v>7033.94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387656113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230</v>
      </c>
      <c r="D12" s="7"/>
      <c r="F12" s="18">
        <v>1677.99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231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232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59364.94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233</v>
      </c>
      <c r="C29" s="69" t="s">
        <v>234</v>
      </c>
      <c r="D29" s="38"/>
      <c r="E29" s="38"/>
      <c r="F29" s="38"/>
      <c r="G29" s="38"/>
      <c r="H29" s="39"/>
      <c r="I29" s="40">
        <v>1677.99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H30" s="6"/>
      <c r="I30" s="40"/>
      <c r="J30" s="40">
        <f>+F12</f>
        <v>1677.99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42"/>
      <c r="C32" s="69"/>
      <c r="D32" s="48"/>
      <c r="E32" s="48"/>
      <c r="F32" s="4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1677.99</v>
      </c>
      <c r="J41" s="57">
        <f>SUM(J29:J40)</f>
        <v>1677.99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387656465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230</v>
      </c>
      <c r="D12" s="7"/>
      <c r="F12" s="18">
        <v>4126.74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235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236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145998.28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233</v>
      </c>
      <c r="C29" s="69" t="s">
        <v>234</v>
      </c>
      <c r="D29" s="38"/>
      <c r="E29" s="38"/>
      <c r="F29" s="38"/>
      <c r="G29" s="38"/>
      <c r="H29" s="39"/>
      <c r="I29" s="40">
        <v>4126.74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H30" s="6"/>
      <c r="I30" s="40"/>
      <c r="J30" s="40">
        <f>+F12</f>
        <v>4126.74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42"/>
      <c r="C32" s="69"/>
      <c r="D32" s="48"/>
      <c r="E32" s="48"/>
      <c r="F32" s="4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4126.74</v>
      </c>
      <c r="J41" s="57">
        <f>SUM(J29:J40)</f>
        <v>4126.74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13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387656631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230</v>
      </c>
      <c r="D12" s="7"/>
      <c r="F12" s="18">
        <v>1467.4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237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238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51914.559999999998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233</v>
      </c>
      <c r="C29" s="69" t="s">
        <v>234</v>
      </c>
      <c r="D29" s="38"/>
      <c r="E29" s="38"/>
      <c r="F29" s="38"/>
      <c r="G29" s="38"/>
      <c r="H29" s="39"/>
      <c r="I29" s="40">
        <v>1467.4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H30" s="6"/>
      <c r="I30" s="40"/>
      <c r="J30" s="40">
        <f>+F12</f>
        <v>1467.4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42"/>
      <c r="C32" s="69"/>
      <c r="D32" s="48"/>
      <c r="E32" s="48"/>
      <c r="F32" s="4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1467.4</v>
      </c>
      <c r="J41" s="57">
        <f>SUM(J29:J40)</f>
        <v>1467.4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22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387656788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230</v>
      </c>
      <c r="D12" s="7"/>
      <c r="F12" s="18">
        <v>1467.4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237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239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51914.559999999998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233</v>
      </c>
      <c r="C29" s="69" t="s">
        <v>234</v>
      </c>
      <c r="D29" s="38"/>
      <c r="E29" s="38"/>
      <c r="F29" s="38"/>
      <c r="G29" s="38"/>
      <c r="H29" s="39"/>
      <c r="I29" s="40">
        <v>1467.4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H30" s="6"/>
      <c r="I30" s="40"/>
      <c r="J30" s="40">
        <f>+F12</f>
        <v>1467.4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42"/>
      <c r="C32" s="69"/>
      <c r="D32" s="48"/>
      <c r="E32" s="48"/>
      <c r="F32" s="4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1467.4</v>
      </c>
      <c r="J41" s="57">
        <f>SUM(J29:J40)</f>
        <v>1467.4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22" zoomScaleNormal="100" zoomScaleSheetLayoutView="128" workbookViewId="0">
      <selection activeCell="I29" sqref="I29:J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387658763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230</v>
      </c>
      <c r="D12" s="7"/>
      <c r="F12" s="18">
        <v>1256.81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240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241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44464.18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233</v>
      </c>
      <c r="C29" s="69" t="s">
        <v>234</v>
      </c>
      <c r="D29" s="38"/>
      <c r="E29" s="38"/>
      <c r="F29" s="38"/>
      <c r="G29" s="38"/>
      <c r="H29" s="39"/>
      <c r="I29" s="40">
        <v>1256.81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H30" s="6"/>
      <c r="I30" s="40"/>
      <c r="J30" s="40">
        <f>+F12</f>
        <v>1256.81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/>
      <c r="C31" s="67"/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42"/>
      <c r="C32" s="69"/>
      <c r="D32" s="48"/>
      <c r="E32" s="48"/>
      <c r="F32" s="4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1256.81</v>
      </c>
      <c r="J41" s="57">
        <f>SUM(J29:J40)</f>
        <v>1256.81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22"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388738036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45673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242</v>
      </c>
      <c r="D12" s="7"/>
      <c r="F12" s="18">
        <v>27743.29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243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244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981518.76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202</v>
      </c>
      <c r="C29" s="69" t="s">
        <v>203</v>
      </c>
      <c r="D29" s="38"/>
      <c r="E29" s="38"/>
      <c r="F29" s="38"/>
      <c r="G29" s="38"/>
      <c r="H29" s="39"/>
      <c r="I29" s="40">
        <v>6814.14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208</v>
      </c>
      <c r="C30" s="38" t="s">
        <v>209</v>
      </c>
      <c r="D30" s="38"/>
      <c r="H30" s="6"/>
      <c r="I30" s="40">
        <v>20929.150000000001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+I29+I30</f>
        <v>27743.29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27743.29</v>
      </c>
      <c r="J41" s="57">
        <f>SUM(J29:J40)</f>
        <v>27743.29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4"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388738104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45673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245</v>
      </c>
      <c r="D12" s="7"/>
      <c r="F12" s="18">
        <v>1946.9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246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247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68878.600000000006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204</v>
      </c>
      <c r="C29" s="69" t="s">
        <v>205</v>
      </c>
      <c r="D29" s="38"/>
      <c r="E29" s="38"/>
      <c r="F29" s="38"/>
      <c r="G29" s="38"/>
      <c r="H29" s="39"/>
      <c r="I29" s="40">
        <v>1946.9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/>
      <c r="C30" s="38"/>
      <c r="D30" s="38"/>
      <c r="H30" s="6"/>
      <c r="I30" s="40"/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+I29+I30</f>
        <v>1946.9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1946.9</v>
      </c>
      <c r="J41" s="57">
        <f>SUM(J29:J40)</f>
        <v>1946.9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19"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388745453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45673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248</v>
      </c>
      <c r="D12" s="7"/>
      <c r="F12" s="18">
        <v>694.95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249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317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24586.36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250</v>
      </c>
      <c r="C29" s="69" t="s">
        <v>251</v>
      </c>
      <c r="D29" s="38"/>
      <c r="E29" s="38"/>
      <c r="F29" s="38"/>
      <c r="G29" s="38"/>
      <c r="H29" s="39"/>
      <c r="I29" s="40">
        <v>604.29999999999995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96</v>
      </c>
      <c r="C30" s="38" t="s">
        <v>97</v>
      </c>
      <c r="D30" s="38"/>
      <c r="H30" s="6"/>
      <c r="I30" s="40">
        <v>90.65</v>
      </c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+F12</f>
        <v>694.95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694.94999999999993</v>
      </c>
      <c r="J41" s="57">
        <f>SUM(J29:J40)</f>
        <v>694.95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23"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20.9062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 t="s">
        <v>255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45685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252</v>
      </c>
      <c r="D12" s="7"/>
      <c r="F12" s="18">
        <f>3149.68+732.48</f>
        <v>3882.16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253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254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137345.39000000001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187</v>
      </c>
      <c r="C29" s="69" t="s">
        <v>188</v>
      </c>
      <c r="D29" s="38"/>
      <c r="E29" s="38"/>
      <c r="F29" s="38"/>
      <c r="G29" s="38"/>
      <c r="H29" s="39"/>
      <c r="I29" s="40">
        <v>4313.51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107</v>
      </c>
      <c r="C30" s="38" t="s">
        <v>108</v>
      </c>
      <c r="D30" s="38"/>
      <c r="H30" s="6"/>
      <c r="I30" s="40">
        <v>0</v>
      </c>
      <c r="J30" s="40">
        <v>431.35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+F12</f>
        <v>3882.16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4313.51</v>
      </c>
      <c r="J41" s="57">
        <f>SUM(J29:J40)</f>
        <v>4313.51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4"/>
  <sheetViews>
    <sheetView topLeftCell="A28" zoomScaleNormal="100" zoomScaleSheetLayoutView="128" workbookViewId="0">
      <selection activeCell="I29" sqref="I29:J31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406695777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213</v>
      </c>
      <c r="D12" s="7"/>
      <c r="F12" s="18">
        <v>60618.23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258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259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2144588.11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200</v>
      </c>
      <c r="C29" s="69" t="s">
        <v>201</v>
      </c>
      <c r="D29" s="38"/>
      <c r="E29" s="38"/>
      <c r="F29" s="38"/>
      <c r="G29" s="38"/>
      <c r="H29" s="39"/>
      <c r="I29" s="40">
        <v>60618.23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72" t="s">
        <v>100</v>
      </c>
      <c r="C30" s="67" t="s">
        <v>101</v>
      </c>
      <c r="D30" s="38"/>
      <c r="F30" s="38"/>
      <c r="G30" s="38"/>
      <c r="H30" s="39"/>
      <c r="I30" s="40"/>
      <c r="J30" s="40">
        <f>+F12</f>
        <v>60618.23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72" t="s">
        <v>189</v>
      </c>
      <c r="C31" s="67" t="s">
        <v>122</v>
      </c>
      <c r="H31" s="39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72"/>
      <c r="C32" s="67"/>
      <c r="D32" s="48"/>
      <c r="E32" s="48"/>
      <c r="F32" s="48"/>
      <c r="G32" s="48"/>
      <c r="H32" s="39"/>
      <c r="I32" s="40"/>
      <c r="J32" s="40"/>
      <c r="K32" s="1">
        <v>11030401</v>
      </c>
      <c r="L32" s="44" t="s">
        <v>35</v>
      </c>
      <c r="M32" s="1">
        <v>11030401</v>
      </c>
      <c r="N32" s="14" t="s">
        <v>36</v>
      </c>
      <c r="P32" s="22">
        <v>3980.09</v>
      </c>
      <c r="Q32" s="22"/>
      <c r="S32" s="1">
        <v>9328</v>
      </c>
      <c r="T32" s="1" t="s">
        <v>29</v>
      </c>
      <c r="U32" s="14">
        <v>9328</v>
      </c>
      <c r="Y32" s="1" t="s">
        <v>30</v>
      </c>
      <c r="AG32" s="38"/>
      <c r="AH32" s="50"/>
    </row>
    <row r="33" spans="1:33" ht="14.5" customHeight="1" x14ac:dyDescent="0.35">
      <c r="B33" s="42"/>
      <c r="C33" s="69"/>
      <c r="D33" s="48"/>
      <c r="E33" s="48"/>
      <c r="F33" s="48"/>
      <c r="G33" s="48"/>
      <c r="I33" s="40"/>
      <c r="J33" s="40"/>
      <c r="L33" s="44"/>
      <c r="R33" s="14"/>
      <c r="S33" s="14"/>
      <c r="AG33" s="38"/>
    </row>
    <row r="34" spans="1:33" ht="14.5" customHeight="1" x14ac:dyDescent="0.35">
      <c r="B34" s="52"/>
      <c r="C34"/>
      <c r="H34" s="6"/>
      <c r="I34" s="40"/>
      <c r="J34" s="40"/>
      <c r="L34" s="44"/>
    </row>
    <row r="35" spans="1:33" ht="14.5" customHeight="1" x14ac:dyDescent="0.35">
      <c r="A35" s="38"/>
      <c r="B35" s="72"/>
      <c r="C35" s="67"/>
      <c r="H35" s="6"/>
      <c r="I35" s="40"/>
      <c r="J35" s="40"/>
      <c r="L35" s="29"/>
      <c r="M35" s="30"/>
      <c r="N35" s="55"/>
    </row>
    <row r="36" spans="1:33" ht="14.5" customHeight="1" x14ac:dyDescent="0.35">
      <c r="B36" s="53"/>
      <c r="C36" s="38"/>
      <c r="H36" s="6"/>
      <c r="I36" s="40"/>
      <c r="J36" s="40"/>
      <c r="O36" s="14"/>
      <c r="Q36" s="22"/>
      <c r="R36" s="22"/>
      <c r="S36" s="22"/>
      <c r="Z36" s="1" t="s">
        <v>37</v>
      </c>
      <c r="AA36" s="1" t="s">
        <v>38</v>
      </c>
      <c r="AB36" s="1" t="s">
        <v>25</v>
      </c>
      <c r="AC36" s="1" t="s">
        <v>26</v>
      </c>
    </row>
    <row r="37" spans="1:33" ht="14.5" customHeight="1" x14ac:dyDescent="0.35">
      <c r="B37" s="53"/>
      <c r="C37" s="38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+M35</f>
        <v>0</v>
      </c>
    </row>
    <row r="38" spans="1:33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3" ht="14.5" customHeight="1" x14ac:dyDescent="0.35">
      <c r="B39" s="53"/>
      <c r="C39" s="38"/>
      <c r="D39" s="3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3" ht="14.5" customHeight="1" x14ac:dyDescent="0.35">
      <c r="B40" s="53"/>
      <c r="C40" s="48"/>
      <c r="H40" s="6"/>
      <c r="I40" s="40"/>
      <c r="J40" s="40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3" ht="14.5" customHeight="1" thickBot="1" x14ac:dyDescent="0.4">
      <c r="B41" s="56"/>
      <c r="C41" s="24"/>
      <c r="D41" s="24"/>
      <c r="E41" s="24"/>
      <c r="F41" s="24"/>
      <c r="G41" s="24"/>
      <c r="H41" s="25"/>
      <c r="I41" s="23"/>
      <c r="J41" s="56"/>
      <c r="M41" s="44"/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+AC40</f>
        <v>0</v>
      </c>
    </row>
    <row r="42" spans="1:33" ht="14.5" customHeight="1" thickBot="1" x14ac:dyDescent="0.4">
      <c r="B42" s="97" t="s">
        <v>39</v>
      </c>
      <c r="C42" s="98"/>
      <c r="D42" s="98"/>
      <c r="E42" s="98"/>
      <c r="F42" s="98"/>
      <c r="G42" s="98"/>
      <c r="H42" s="99"/>
      <c r="I42" s="57">
        <f>SUM(I29:I41)</f>
        <v>60618.23</v>
      </c>
      <c r="J42" s="57">
        <f>SUM(J29:J41)</f>
        <v>60618.23</v>
      </c>
      <c r="K42" s="58" t="e">
        <f>+I42-#REF!</f>
        <v>#REF!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+AC40</f>
        <v>0</v>
      </c>
    </row>
    <row r="43" spans="1:33" ht="14.5" customHeight="1" x14ac:dyDescent="0.35">
      <c r="J43" s="14">
        <f>+J42-I42</f>
        <v>0</v>
      </c>
      <c r="O43" s="14"/>
      <c r="P43" s="14"/>
      <c r="Q43" s="14"/>
      <c r="R43" s="14"/>
      <c r="S43" s="22"/>
      <c r="T43" s="22"/>
      <c r="U43" s="22"/>
      <c r="Z43" s="1" t="s">
        <v>30</v>
      </c>
      <c r="AB43" s="1" t="s">
        <v>30</v>
      </c>
      <c r="AC43" s="1">
        <f>+AC42</f>
        <v>0</v>
      </c>
    </row>
    <row r="44" spans="1:33" ht="14.5" customHeight="1" x14ac:dyDescent="0.35">
      <c r="M44" s="1" t="s">
        <v>40</v>
      </c>
      <c r="N44" s="50">
        <v>0.15</v>
      </c>
      <c r="P44" s="59" t="e">
        <f>+#REF!*0.15</f>
        <v>#REF!</v>
      </c>
      <c r="Q44" s="14"/>
    </row>
    <row r="45" spans="1:33" ht="14.5" customHeight="1" x14ac:dyDescent="0.35">
      <c r="N45" s="50"/>
      <c r="P45" s="59"/>
    </row>
    <row r="46" spans="1:33" ht="14.5" customHeight="1" x14ac:dyDescent="0.35">
      <c r="B46" s="95" t="s">
        <v>41</v>
      </c>
      <c r="C46" s="95"/>
      <c r="G46" s="80"/>
      <c r="H46" s="79"/>
      <c r="I46" s="95" t="s">
        <v>42</v>
      </c>
      <c r="J46" s="95"/>
      <c r="M46" s="1" t="s">
        <v>43</v>
      </c>
      <c r="P46" s="59" t="e">
        <f>+#REF!-P44</f>
        <v>#REF!</v>
      </c>
    </row>
    <row r="47" spans="1:33" ht="14.5" customHeight="1" x14ac:dyDescent="0.35">
      <c r="B47" s="100" t="s">
        <v>44</v>
      </c>
      <c r="C47" s="100"/>
      <c r="H47" s="80"/>
      <c r="I47" s="100" t="s">
        <v>45</v>
      </c>
      <c r="J47" s="100"/>
      <c r="M47" s="1">
        <v>12040102</v>
      </c>
      <c r="N47" s="1" t="s">
        <v>46</v>
      </c>
    </row>
    <row r="48" spans="1:33" ht="14.5" customHeight="1" x14ac:dyDescent="0.35">
      <c r="B48" s="100" t="s">
        <v>47</v>
      </c>
      <c r="C48" s="100"/>
      <c r="H48" s="79"/>
      <c r="I48" s="100" t="s">
        <v>48</v>
      </c>
      <c r="J48" s="100"/>
      <c r="M48" s="1" t="s">
        <v>49</v>
      </c>
    </row>
    <row r="50" spans="2:29" ht="14.5" customHeight="1" x14ac:dyDescent="0.35">
      <c r="F50" s="38"/>
      <c r="G50" s="63"/>
      <c r="H50" s="63"/>
      <c r="I50" s="63"/>
      <c r="J50" s="63"/>
      <c r="K50" s="63"/>
      <c r="O50" s="64"/>
    </row>
    <row r="51" spans="2:29" ht="14.5" customHeight="1" x14ac:dyDescent="0.35">
      <c r="B51" s="95" t="s">
        <v>50</v>
      </c>
      <c r="C51" s="95"/>
      <c r="E51" s="38"/>
      <c r="F51" s="95" t="s">
        <v>51</v>
      </c>
      <c r="G51" s="95"/>
      <c r="H51" s="95"/>
      <c r="J51" s="63"/>
    </row>
    <row r="52" spans="2:29" ht="14.5" customHeight="1" x14ac:dyDescent="0.35">
      <c r="B52" s="96"/>
      <c r="C52" s="96"/>
      <c r="E52" s="96"/>
      <c r="F52" s="96"/>
      <c r="G52" s="96"/>
      <c r="H52" s="96"/>
      <c r="I52" s="96"/>
      <c r="J52" s="38"/>
      <c r="L52" s="1" t="s">
        <v>52</v>
      </c>
    </row>
    <row r="53" spans="2:29" ht="14.5" customHeight="1" x14ac:dyDescent="0.35">
      <c r="L53" s="1" t="s">
        <v>11</v>
      </c>
      <c r="M53" s="1" t="s">
        <v>12</v>
      </c>
      <c r="N53" s="1" t="s">
        <v>13</v>
      </c>
      <c r="O53" s="14" t="s">
        <v>16</v>
      </c>
      <c r="P53" s="1" t="s">
        <v>17</v>
      </c>
      <c r="Q53" s="22" t="s">
        <v>53</v>
      </c>
      <c r="R53" s="22" t="s">
        <v>54</v>
      </c>
      <c r="S53" s="22" t="s">
        <v>19</v>
      </c>
      <c r="T53" s="1" t="s">
        <v>20</v>
      </c>
      <c r="U53" s="1" t="s">
        <v>21</v>
      </c>
      <c r="V53" s="1" t="s">
        <v>18</v>
      </c>
      <c r="W53" s="1" t="s">
        <v>22</v>
      </c>
      <c r="X53" s="1" t="s">
        <v>23</v>
      </c>
      <c r="Y53" s="1" t="s">
        <v>55</v>
      </c>
      <c r="Z53" s="1" t="s">
        <v>37</v>
      </c>
      <c r="AA53" s="1" t="s">
        <v>38</v>
      </c>
      <c r="AB53" s="1" t="s">
        <v>25</v>
      </c>
      <c r="AC53" s="1" t="s">
        <v>26</v>
      </c>
    </row>
    <row r="54" spans="2:29" ht="14.5" customHeight="1" x14ac:dyDescent="0.35">
      <c r="H54" s="38"/>
      <c r="I54" s="63"/>
      <c r="L54" s="1">
        <v>61020106</v>
      </c>
      <c r="M54" s="44" t="s">
        <v>56</v>
      </c>
      <c r="N54" s="1">
        <v>61020106</v>
      </c>
      <c r="O54" s="14">
        <v>20000</v>
      </c>
      <c r="P54" s="14"/>
      <c r="Q54" s="14" t="e">
        <f>O54/M35</f>
        <v>#DIV/0!</v>
      </c>
      <c r="R54" s="14"/>
      <c r="S54" s="22" t="s">
        <v>57</v>
      </c>
      <c r="T54" s="22" t="str">
        <f>+S54</f>
        <v>COMPLEMENTO CK14047 LEYSER RUANO VIATICO MAY-19</v>
      </c>
      <c r="U54" s="22" t="str">
        <f>+T54</f>
        <v>COMPLEMENTO CK14047 LEYSER RUANO VIATICO MAY-19</v>
      </c>
      <c r="V54" s="1" t="s">
        <v>58</v>
      </c>
      <c r="W54" s="1" t="s">
        <v>59</v>
      </c>
      <c r="X54" s="1" t="s">
        <v>60</v>
      </c>
      <c r="Y54" s="1" t="s">
        <v>61</v>
      </c>
      <c r="Z54" s="1" t="s">
        <v>30</v>
      </c>
      <c r="AB54" s="1" t="s">
        <v>30</v>
      </c>
      <c r="AC54" s="1">
        <f>+M52</f>
        <v>0</v>
      </c>
    </row>
    <row r="55" spans="2:29" ht="14.5" customHeight="1" x14ac:dyDescent="0.35">
      <c r="L55" s="1">
        <v>21010504</v>
      </c>
      <c r="M55" s="44" t="s">
        <v>31</v>
      </c>
      <c r="N55" s="1">
        <v>21010504</v>
      </c>
      <c r="O55" s="14"/>
      <c r="P55" s="14">
        <v>4000</v>
      </c>
      <c r="Q55" s="14"/>
      <c r="R55" s="14" t="e">
        <f>+P55/M35</f>
        <v>#DIV/0!</v>
      </c>
      <c r="S55" s="22" t="str">
        <f t="shared" ref="S55:U57" si="0">+S54</f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>
        <f>+AC54</f>
        <v>0</v>
      </c>
    </row>
    <row r="56" spans="2:29" ht="14.5" customHeight="1" x14ac:dyDescent="0.35">
      <c r="E56" s="38"/>
      <c r="L56" s="1">
        <v>11030503</v>
      </c>
      <c r="M56" s="44" t="s">
        <v>62</v>
      </c>
      <c r="N56" s="1">
        <v>11030503</v>
      </c>
      <c r="O56" s="14"/>
      <c r="P56" s="14" t="e">
        <f>ROUND(R56*$L$23,2)</f>
        <v>#DIV/0!</v>
      </c>
      <c r="Q56" s="14"/>
      <c r="R56" s="14" t="e">
        <f>+Q54-R55</f>
        <v>#DIV/0!</v>
      </c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11030503</v>
      </c>
      <c r="M57" s="44" t="s">
        <v>62</v>
      </c>
      <c r="N57" s="1">
        <v>11030503</v>
      </c>
      <c r="O57" s="14">
        <v>1400</v>
      </c>
      <c r="P57" s="14"/>
      <c r="Q57" s="14" t="e">
        <f>+R58</f>
        <v>#DIV/0!</v>
      </c>
      <c r="R57" s="14"/>
      <c r="S57" s="22" t="str">
        <f t="shared" si="0"/>
        <v>COMPLEMENTO CK14047 LEYSER RUANO VIATICO MAY-19</v>
      </c>
      <c r="T57" s="22" t="str">
        <f t="shared" si="0"/>
        <v>COMPLEMENTO CK14047 LEYSER RUANO VIATICO MAY-19</v>
      </c>
      <c r="U57" s="22" t="str">
        <f t="shared" si="0"/>
        <v>COMPLEMENTO CK14047 LEYSER RUANO VIATICO MAY-19</v>
      </c>
      <c r="V57" s="1" t="s">
        <v>58</v>
      </c>
      <c r="Z57" s="1" t="s">
        <v>30</v>
      </c>
      <c r="AB57" s="1" t="s">
        <v>30</v>
      </c>
      <c r="AC57" s="1" t="e">
        <f>+#REF!</f>
        <v>#REF!</v>
      </c>
    </row>
    <row r="58" spans="2:29" ht="14.5" customHeight="1" x14ac:dyDescent="0.35">
      <c r="L58" s="1">
        <v>21010510</v>
      </c>
      <c r="M58" s="1" t="s">
        <v>63</v>
      </c>
      <c r="N58" s="1">
        <v>21010510</v>
      </c>
      <c r="O58" s="14"/>
      <c r="P58" s="14">
        <f>ROUND(O54*7%,2)</f>
        <v>1400</v>
      </c>
      <c r="Q58" s="14"/>
      <c r="R58" s="14" t="e">
        <f>(ROUND(Q54*7%,2))</f>
        <v>#DIV/0!</v>
      </c>
      <c r="S58" s="22">
        <f t="shared" ref="S58:U63" si="1">+$S$37</f>
        <v>0</v>
      </c>
      <c r="T58" s="22">
        <f t="shared" si="1"/>
        <v>0</v>
      </c>
      <c r="U58" s="22">
        <f t="shared" si="1"/>
        <v>0</v>
      </c>
      <c r="V58" s="1" t="s">
        <v>58</v>
      </c>
      <c r="Z58" s="1" t="s">
        <v>30</v>
      </c>
      <c r="AB58" s="1" t="s">
        <v>30</v>
      </c>
      <c r="AC58" s="1" t="e">
        <f>+AC56</f>
        <v>#REF!</v>
      </c>
    </row>
    <row r="59" spans="2:29" ht="14.5" customHeight="1" x14ac:dyDescent="0.35">
      <c r="L59" s="1">
        <v>61010205</v>
      </c>
      <c r="M59" s="1" t="s">
        <v>64</v>
      </c>
      <c r="N59" s="1">
        <v>61010205</v>
      </c>
      <c r="O59" s="14">
        <f>ROUND(O54*21.5%,2)</f>
        <v>4300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61010206</v>
      </c>
      <c r="M60" s="1" t="s">
        <v>65</v>
      </c>
      <c r="N60" s="1">
        <v>61010206</v>
      </c>
      <c r="O60" s="14">
        <f>ROUND(O54*2%,2)</f>
        <v>400</v>
      </c>
      <c r="P60" s="14"/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W60" s="1" t="s">
        <v>59</v>
      </c>
      <c r="X60" s="1" t="s">
        <v>60</v>
      </c>
      <c r="Y60" s="1" t="s">
        <v>61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21010509</v>
      </c>
      <c r="M61" s="1" t="s">
        <v>66</v>
      </c>
      <c r="N61" s="1">
        <v>21010509</v>
      </c>
      <c r="O61" s="14"/>
      <c r="P61" s="14">
        <f>+O59</f>
        <v>4300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21010511</v>
      </c>
      <c r="M62" s="1" t="s">
        <v>67</v>
      </c>
      <c r="N62" s="1">
        <v>21010511</v>
      </c>
      <c r="O62" s="14"/>
      <c r="P62" s="14">
        <f>+O60</f>
        <v>400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L63" s="1">
        <v>81010102</v>
      </c>
      <c r="M63" s="1" t="s">
        <v>68</v>
      </c>
      <c r="N63" s="1">
        <v>81010102</v>
      </c>
      <c r="O63" s="14"/>
      <c r="P63" s="14" t="e">
        <f>(SUM(O54:O62)-SUM(P54:P62))</f>
        <v>#DIV/0!</v>
      </c>
      <c r="Q63" s="14"/>
      <c r="R63" s="14"/>
      <c r="S63" s="22">
        <f t="shared" si="1"/>
        <v>0</v>
      </c>
      <c r="T63" s="22">
        <f t="shared" si="1"/>
        <v>0</v>
      </c>
      <c r="U63" s="22">
        <f t="shared" si="1"/>
        <v>0</v>
      </c>
      <c r="V63" s="1" t="s">
        <v>58</v>
      </c>
      <c r="Z63" s="1" t="s">
        <v>30</v>
      </c>
      <c r="AB63" s="1" t="s">
        <v>30</v>
      </c>
      <c r="AC63" s="1" t="e">
        <f>+AC62</f>
        <v>#REF!</v>
      </c>
    </row>
    <row r="64" spans="2:29" ht="14.5" customHeight="1" x14ac:dyDescent="0.35">
      <c r="N64" s="14" t="e">
        <f>+O64-P64</f>
        <v>#DIV/0!</v>
      </c>
      <c r="O64" s="14">
        <f>SUM(O54:O63)</f>
        <v>26100</v>
      </c>
      <c r="P64" s="14" t="e">
        <f>SUM(P54:P63)</f>
        <v>#DIV/0!</v>
      </c>
      <c r="Q64" s="14" t="e">
        <f>SUM(Q54:Q63)</f>
        <v>#DIV/0!</v>
      </c>
      <c r="R64" s="14" t="e">
        <f>SUM(R54:R63)</f>
        <v>#DIV/0!</v>
      </c>
      <c r="S64" s="14" t="e">
        <f>+Q64-R64</f>
        <v>#DIV/0!</v>
      </c>
      <c r="T64" s="14"/>
    </row>
  </sheetData>
  <mergeCells count="17">
    <mergeCell ref="B51:C51"/>
    <mergeCell ref="F51:H51"/>
    <mergeCell ref="B52:C52"/>
    <mergeCell ref="E52:I52"/>
    <mergeCell ref="B42:H42"/>
    <mergeCell ref="B46:C46"/>
    <mergeCell ref="I46:J46"/>
    <mergeCell ref="B47:C47"/>
    <mergeCell ref="I47:J47"/>
    <mergeCell ref="B48:C48"/>
    <mergeCell ref="I48:J48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19" zoomScaleNormal="100" zoomScaleSheetLayoutView="128" workbookViewId="0">
      <selection activeCell="D36" sqref="D3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20.9062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406704413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260</v>
      </c>
      <c r="D12" s="7"/>
      <c r="F12" s="18">
        <v>3037.5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261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262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107462.5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187</v>
      </c>
      <c r="C29" s="69" t="s">
        <v>188</v>
      </c>
      <c r="D29" s="38"/>
      <c r="E29" s="38"/>
      <c r="F29" s="38"/>
      <c r="G29" s="38"/>
      <c r="H29" s="39"/>
      <c r="I29" s="40">
        <v>3375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107</v>
      </c>
      <c r="C30" s="38" t="s">
        <v>108</v>
      </c>
      <c r="D30" s="38"/>
      <c r="H30" s="6"/>
      <c r="I30" s="40">
        <v>0</v>
      </c>
      <c r="J30" s="40">
        <v>337.5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+F12</f>
        <v>3037.5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3375</v>
      </c>
      <c r="J41" s="57">
        <f>SUM(J29:J40)</f>
        <v>3375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22" zoomScaleNormal="100" zoomScaleSheetLayoutView="128" workbookViewId="0">
      <selection activeCell="B29" sqref="B29:C3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20.9062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406718046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263</v>
      </c>
      <c r="D12" s="7"/>
      <c r="F12" s="18">
        <v>1500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264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265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53067.9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132</v>
      </c>
      <c r="C29" s="69" t="s">
        <v>133</v>
      </c>
      <c r="D29" s="38"/>
      <c r="E29" s="38"/>
      <c r="F29" s="38"/>
      <c r="G29" s="38"/>
      <c r="H29" s="39"/>
      <c r="I29" s="40">
        <v>1500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G30" s="48"/>
      <c r="I30" s="40"/>
      <c r="J30" s="40">
        <f>+F12</f>
        <v>1500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/>
      <c r="C31" s="38"/>
      <c r="D31" s="38"/>
      <c r="G31" s="48"/>
      <c r="I31" s="40"/>
      <c r="J31" s="40"/>
      <c r="L31" s="44"/>
      <c r="N31" s="14"/>
      <c r="P31" s="22"/>
      <c r="Q31" s="22"/>
      <c r="U31" s="14"/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1500</v>
      </c>
      <c r="J41" s="57">
        <f>SUM(J29:J40)</f>
        <v>1500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4" zoomScaleNormal="100" zoomScaleSheetLayoutView="128" workbookViewId="0">
      <selection activeCell="AH12" sqref="AH12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20.9062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406728342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266</v>
      </c>
      <c r="D12" s="7"/>
      <c r="F12" s="18">
        <v>1800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267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265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63681.48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132</v>
      </c>
      <c r="C29" s="69" t="s">
        <v>133</v>
      </c>
      <c r="D29" s="38"/>
      <c r="E29" s="38"/>
      <c r="F29" s="38"/>
      <c r="G29" s="38"/>
      <c r="H29" s="39"/>
      <c r="I29" s="40">
        <v>1800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/>
      <c r="C30" s="38"/>
      <c r="D30" s="38"/>
      <c r="H30" s="6"/>
      <c r="I30" s="40"/>
      <c r="J30" s="40"/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+F12</f>
        <v>1800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1800</v>
      </c>
      <c r="J41" s="57">
        <f>SUM(J29:J40)</f>
        <v>1800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opLeftCell="A4" zoomScaleNormal="100" zoomScaleSheetLayoutView="128" workbookViewId="0">
      <selection activeCell="I29" sqref="I29:J32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20.9062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406760039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45686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268</v>
      </c>
      <c r="D12" s="7"/>
      <c r="F12" s="18">
        <v>65464.88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269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270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2316055.7999999998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115</v>
      </c>
      <c r="C29" s="69" t="s">
        <v>116</v>
      </c>
      <c r="D29" s="38"/>
      <c r="E29" s="38"/>
      <c r="F29" s="38"/>
      <c r="G29" s="38"/>
      <c r="H29" s="39"/>
      <c r="I29" s="40">
        <f>58879+7599.08</f>
        <v>66478.080000000002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98</v>
      </c>
      <c r="C30" s="38" t="s">
        <v>99</v>
      </c>
      <c r="D30" s="38"/>
      <c r="H30" s="6"/>
      <c r="I30" s="40"/>
      <c r="J30" s="40">
        <v>1013.21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 t="s">
        <v>100</v>
      </c>
      <c r="C31" s="38" t="s">
        <v>101</v>
      </c>
      <c r="D31" s="38"/>
      <c r="G31" s="48"/>
      <c r="I31" s="40"/>
      <c r="J31" s="40">
        <f>+F12</f>
        <v>65464.88</v>
      </c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</row>
    <row r="32" spans="1:34" ht="14.5" customHeight="1" x14ac:dyDescent="0.35">
      <c r="B32" s="53" t="s">
        <v>121</v>
      </c>
      <c r="C32" s="38" t="s">
        <v>122</v>
      </c>
      <c r="D32" s="38"/>
      <c r="G32" s="48"/>
      <c r="I32" s="40">
        <v>0.01</v>
      </c>
      <c r="J32" s="40"/>
      <c r="L32" s="44"/>
      <c r="R32" s="14"/>
      <c r="S32" s="14"/>
      <c r="AG32" s="38"/>
    </row>
    <row r="33" spans="1:29" ht="14.5" customHeight="1" x14ac:dyDescent="0.35">
      <c r="B33" s="52"/>
      <c r="C33"/>
      <c r="H33" s="6"/>
      <c r="I33" s="40"/>
      <c r="J33" s="40"/>
      <c r="L33" s="44"/>
    </row>
    <row r="34" spans="1:29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</row>
    <row r="35" spans="1:29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29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29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29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29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29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29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66478.09</v>
      </c>
      <c r="J41" s="57">
        <f>SUM(J29:J40)</f>
        <v>66478.09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29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29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29" ht="14.5" customHeight="1" x14ac:dyDescent="0.35">
      <c r="N44" s="50"/>
      <c r="P44" s="59"/>
    </row>
    <row r="45" spans="1:29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29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</row>
    <row r="47" spans="1:29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AH63"/>
  <sheetViews>
    <sheetView tabSelected="1" zoomScaleNormal="100" zoomScaleSheetLayoutView="128" workbookViewId="0">
      <selection activeCell="J56" sqref="J5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20.9062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2:15" ht="7.5" customHeight="1" x14ac:dyDescent="0.35"/>
    <row r="3" spans="2:15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2:15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2:15" ht="14.5" customHeight="1" x14ac:dyDescent="0.35">
      <c r="C5" s="105"/>
      <c r="D5" s="105"/>
      <c r="E5" s="105"/>
      <c r="F5" s="105"/>
      <c r="G5" s="105"/>
      <c r="H5" s="105"/>
      <c r="I5" s="66" t="s">
        <v>69</v>
      </c>
      <c r="J5" s="1">
        <v>410737135</v>
      </c>
    </row>
    <row r="6" spans="2:15" ht="14.5" customHeight="1" thickBot="1" x14ac:dyDescent="0.4">
      <c r="C6" s="106"/>
      <c r="D6" s="106"/>
      <c r="E6" s="106"/>
      <c r="F6" s="106"/>
      <c r="G6" s="106"/>
      <c r="H6" s="106"/>
    </row>
    <row r="7" spans="2:15" ht="14.5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2:15" ht="14.5" customHeight="1" x14ac:dyDescent="0.35">
      <c r="B8" s="5"/>
      <c r="J8" s="6"/>
    </row>
    <row r="9" spans="2:15" ht="14.5" customHeight="1" x14ac:dyDescent="0.35">
      <c r="B9" s="5"/>
      <c r="J9" s="6"/>
    </row>
    <row r="10" spans="2:15" ht="14.5" customHeight="1" x14ac:dyDescent="0.35">
      <c r="B10" s="5"/>
      <c r="C10" s="7"/>
      <c r="D10" s="7"/>
      <c r="E10" s="8" t="s">
        <v>0</v>
      </c>
      <c r="G10" s="9"/>
      <c r="H10" s="9"/>
      <c r="I10" s="9"/>
      <c r="J10" s="10">
        <v>46022</v>
      </c>
    </row>
    <row r="11" spans="2:15" ht="14.5" customHeight="1" x14ac:dyDescent="0.35">
      <c r="B11" s="5"/>
      <c r="H11" s="11"/>
      <c r="I11" s="12"/>
      <c r="J11" s="13"/>
      <c r="K11" s="14"/>
      <c r="L11" s="15"/>
      <c r="M11" s="14"/>
      <c r="N11" s="16"/>
    </row>
    <row r="12" spans="2:15" ht="14.5" customHeight="1" x14ac:dyDescent="0.35">
      <c r="B12" s="5"/>
      <c r="C12" s="17" t="s">
        <v>175</v>
      </c>
      <c r="D12" s="7"/>
      <c r="F12" s="18">
        <v>3570.22</v>
      </c>
      <c r="G12" s="19"/>
      <c r="H12" s="19"/>
      <c r="I12" s="7"/>
      <c r="J12" s="20"/>
      <c r="K12" s="14"/>
      <c r="M12" s="14"/>
      <c r="N12" s="14"/>
    </row>
    <row r="13" spans="2:15" ht="14.5" customHeight="1" x14ac:dyDescent="0.35">
      <c r="B13" s="5"/>
      <c r="H13" s="7"/>
      <c r="I13" s="7"/>
      <c r="J13" s="20"/>
      <c r="K13" s="14"/>
      <c r="M13" s="14"/>
      <c r="N13" s="14"/>
    </row>
    <row r="14" spans="2:15" ht="14.5" customHeight="1" x14ac:dyDescent="0.35">
      <c r="B14" s="5"/>
      <c r="H14" s="7"/>
      <c r="J14" s="6"/>
      <c r="K14" s="14"/>
      <c r="M14" s="14"/>
      <c r="N14" s="14"/>
      <c r="O14" s="14"/>
    </row>
    <row r="15" spans="2:15" ht="14.5" customHeight="1" x14ac:dyDescent="0.35">
      <c r="B15" s="5"/>
      <c r="C15" s="21" t="s">
        <v>271</v>
      </c>
      <c r="D15" s="7"/>
      <c r="E15" s="7"/>
      <c r="F15" s="7"/>
      <c r="G15" s="7"/>
      <c r="J15" s="6"/>
      <c r="K15" s="14"/>
      <c r="M15" s="14"/>
      <c r="N15" s="14"/>
      <c r="O15" s="14"/>
    </row>
    <row r="16" spans="2:15" ht="14.5" customHeight="1" x14ac:dyDescent="0.35">
      <c r="B16" s="5"/>
      <c r="J16" s="6"/>
      <c r="K16" s="22"/>
      <c r="M16" s="14"/>
      <c r="N16" s="14"/>
      <c r="O16" s="14"/>
    </row>
    <row r="17" spans="1:34" ht="14.5" customHeight="1" x14ac:dyDescent="0.35">
      <c r="B17" s="5"/>
      <c r="J17" s="6"/>
      <c r="K17" s="22"/>
      <c r="M17" s="14"/>
      <c r="N17" s="14"/>
      <c r="O17" s="14"/>
    </row>
    <row r="18" spans="1:34" ht="14.5" customHeight="1" x14ac:dyDescent="0.35">
      <c r="B18" s="5"/>
      <c r="J18" s="6"/>
      <c r="K18" s="22"/>
      <c r="M18" s="14"/>
      <c r="N18" s="14"/>
      <c r="O18" s="14"/>
      <c r="AH18" s="14"/>
    </row>
    <row r="19" spans="1:34" ht="14.5" customHeight="1" x14ac:dyDescent="0.35">
      <c r="B19" s="5"/>
      <c r="J19" s="6"/>
      <c r="M19" s="14"/>
      <c r="N19" s="14"/>
      <c r="AH19" s="14"/>
    </row>
    <row r="20" spans="1:34" ht="14.5" customHeight="1" x14ac:dyDescent="0.35">
      <c r="B20" s="5"/>
      <c r="J20" s="6"/>
      <c r="M20" s="14"/>
      <c r="N20" s="14"/>
      <c r="AH20" s="14"/>
    </row>
    <row r="21" spans="1:34" ht="14.5" customHeight="1" thickBot="1" x14ac:dyDescent="0.4">
      <c r="B21" s="23"/>
      <c r="C21" s="24"/>
      <c r="D21" s="24"/>
      <c r="E21" s="24"/>
      <c r="F21" s="24"/>
      <c r="G21" s="24"/>
      <c r="H21" s="24"/>
      <c r="I21" s="24"/>
      <c r="J21" s="25"/>
      <c r="M21" s="26"/>
      <c r="Q21" s="27">
        <f>338.99*L23</f>
        <v>11992.991614</v>
      </c>
      <c r="AH21" s="14"/>
    </row>
    <row r="22" spans="1:34" ht="14.5" customHeight="1" thickBot="1" x14ac:dyDescent="0.4">
      <c r="M22" s="14"/>
      <c r="AH22" s="14"/>
    </row>
    <row r="23" spans="1:34" ht="14.5" customHeight="1" x14ac:dyDescent="0.35">
      <c r="B23" s="28" t="s">
        <v>1</v>
      </c>
      <c r="C23" s="107" t="s">
        <v>272</v>
      </c>
      <c r="D23" s="107"/>
      <c r="E23" s="107"/>
      <c r="F23" s="107"/>
      <c r="G23" s="107"/>
      <c r="H23" s="107"/>
      <c r="I23" s="107"/>
      <c r="J23" s="108"/>
      <c r="K23" s="29" t="s">
        <v>2</v>
      </c>
      <c r="L23" s="30">
        <v>35.378599999999999</v>
      </c>
      <c r="M23" s="14"/>
      <c r="N23" s="14"/>
      <c r="O23" s="14"/>
      <c r="Q23" s="27">
        <f>+Q29/L23</f>
        <v>847.49990107013855</v>
      </c>
      <c r="AH23" s="14"/>
    </row>
    <row r="24" spans="1:34" ht="14.5" customHeight="1" x14ac:dyDescent="0.35">
      <c r="B24" s="31"/>
      <c r="C24" s="109"/>
      <c r="D24" s="109"/>
      <c r="E24" s="109"/>
      <c r="F24" s="109"/>
      <c r="G24" s="109"/>
      <c r="H24" s="109"/>
      <c r="I24" s="109"/>
      <c r="J24" s="110"/>
      <c r="K24" s="32"/>
      <c r="L24" s="22">
        <f>ROUND(F12*L23,2)</f>
        <v>126309.39</v>
      </c>
      <c r="M24" s="14"/>
      <c r="N24" s="14"/>
      <c r="O24" s="14"/>
      <c r="AH24" s="14"/>
    </row>
    <row r="25" spans="1:34" ht="14.5" customHeight="1" thickBot="1" x14ac:dyDescent="0.4">
      <c r="B25" s="5"/>
      <c r="C25" s="109"/>
      <c r="D25" s="109"/>
      <c r="E25" s="109"/>
      <c r="F25" s="109"/>
      <c r="G25" s="109"/>
      <c r="H25" s="109"/>
      <c r="I25" s="109"/>
      <c r="J25" s="110"/>
      <c r="L25" s="14"/>
      <c r="M25" s="14" t="s">
        <v>3</v>
      </c>
      <c r="N25" s="14"/>
      <c r="O25" s="14"/>
      <c r="AH25" s="14"/>
    </row>
    <row r="26" spans="1:34" ht="14.5" customHeight="1" thickBot="1" x14ac:dyDescent="0.4">
      <c r="B26" s="23"/>
      <c r="C26" s="24"/>
      <c r="D26" s="24"/>
      <c r="E26" s="24"/>
      <c r="F26" s="24"/>
      <c r="G26" s="24"/>
      <c r="H26" s="24"/>
      <c r="I26" s="24"/>
      <c r="J26" s="25"/>
      <c r="K26" s="3"/>
      <c r="L26" s="3">
        <v>61020201</v>
      </c>
      <c r="M26" s="33" t="s">
        <v>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H26" s="14"/>
    </row>
    <row r="27" spans="1:34" ht="14.5" customHeight="1" thickBot="1" x14ac:dyDescent="0.4">
      <c r="L27" s="1" t="s">
        <v>5</v>
      </c>
      <c r="M27" s="14" t="s">
        <v>6</v>
      </c>
      <c r="AH27" s="14"/>
    </row>
    <row r="28" spans="1:34" ht="14.5" customHeight="1" thickBot="1" x14ac:dyDescent="0.4">
      <c r="B28" s="35" t="s">
        <v>7</v>
      </c>
      <c r="C28" s="102" t="s">
        <v>8</v>
      </c>
      <c r="D28" s="102"/>
      <c r="E28" s="102"/>
      <c r="F28" s="102"/>
      <c r="G28" s="102"/>
      <c r="H28" s="103"/>
      <c r="I28" s="35" t="s">
        <v>9</v>
      </c>
      <c r="J28" s="35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Q28" s="1" t="s">
        <v>17</v>
      </c>
      <c r="R28" s="1" t="s">
        <v>18</v>
      </c>
      <c r="S28" s="1" t="s">
        <v>19</v>
      </c>
      <c r="T28" s="1" t="s">
        <v>20</v>
      </c>
      <c r="U28" s="1" t="s">
        <v>21</v>
      </c>
      <c r="V28" s="1" t="s">
        <v>22</v>
      </c>
      <c r="W28" s="1" t="s">
        <v>23</v>
      </c>
      <c r="X28" s="1" t="s">
        <v>24</v>
      </c>
      <c r="Y28" s="1" t="s">
        <v>25</v>
      </c>
      <c r="Z28" s="1" t="s">
        <v>26</v>
      </c>
      <c r="AH28" s="14"/>
    </row>
    <row r="29" spans="1:34" ht="14.5" customHeight="1" x14ac:dyDescent="0.35">
      <c r="A29" s="38"/>
      <c r="B29" s="42" t="s">
        <v>273</v>
      </c>
      <c r="C29" s="69" t="s">
        <v>274</v>
      </c>
      <c r="D29" s="38"/>
      <c r="E29" s="38"/>
      <c r="F29" s="38"/>
      <c r="G29" s="38"/>
      <c r="H29" s="39"/>
      <c r="I29" s="40">
        <v>3570.22</v>
      </c>
      <c r="J29" s="40"/>
      <c r="K29" s="1">
        <v>11010201</v>
      </c>
      <c r="L29" s="1" t="s">
        <v>27</v>
      </c>
      <c r="M29" s="1">
        <v>11010201</v>
      </c>
      <c r="N29" s="14"/>
      <c r="O29" s="1" t="s">
        <v>28</v>
      </c>
      <c r="Q29" s="22">
        <v>29983.360000000001</v>
      </c>
      <c r="S29" s="1">
        <v>9328</v>
      </c>
      <c r="T29" s="1" t="s">
        <v>29</v>
      </c>
      <c r="U29" s="1">
        <v>344</v>
      </c>
      <c r="Y29" s="1" t="s">
        <v>30</v>
      </c>
      <c r="AG29" s="5"/>
      <c r="AH29" s="14"/>
    </row>
    <row r="30" spans="1:34" ht="14.5" customHeight="1" x14ac:dyDescent="0.35">
      <c r="A30" s="38"/>
      <c r="B30" s="53" t="s">
        <v>100</v>
      </c>
      <c r="C30" s="38" t="s">
        <v>101</v>
      </c>
      <c r="D30" s="38"/>
      <c r="H30" s="6"/>
      <c r="I30" s="40"/>
      <c r="J30" s="40">
        <f>+F12</f>
        <v>3570.22</v>
      </c>
      <c r="K30" s="1">
        <v>21010504</v>
      </c>
      <c r="L30" s="44" t="s">
        <v>31</v>
      </c>
      <c r="M30" s="1">
        <v>21010504</v>
      </c>
      <c r="N30" s="14"/>
      <c r="O30" s="1" t="s">
        <v>32</v>
      </c>
      <c r="P30" s="22"/>
      <c r="Q30" s="22">
        <v>530.67999999999995</v>
      </c>
      <c r="S30" s="1">
        <v>9328</v>
      </c>
      <c r="T30" s="1" t="s">
        <v>29</v>
      </c>
      <c r="Y30" s="1" t="s">
        <v>30</v>
      </c>
      <c r="AG30" s="5"/>
      <c r="AH30" s="14"/>
    </row>
    <row r="31" spans="1:34" ht="14.5" customHeight="1" x14ac:dyDescent="0.35">
      <c r="B31" s="53"/>
      <c r="C31" s="38"/>
      <c r="D31" s="38"/>
      <c r="G31" s="48"/>
      <c r="I31" s="40"/>
      <c r="J31" s="40"/>
      <c r="K31" s="1">
        <v>61020110</v>
      </c>
      <c r="L31" s="44" t="s">
        <v>33</v>
      </c>
      <c r="M31" s="1">
        <v>61020110</v>
      </c>
      <c r="N31" s="14" t="s">
        <v>34</v>
      </c>
      <c r="P31" s="22">
        <v>26533.95</v>
      </c>
      <c r="Q31" s="22"/>
      <c r="S31" s="1">
        <v>9328</v>
      </c>
      <c r="T31" s="1" t="s">
        <v>29</v>
      </c>
      <c r="U31" s="14">
        <v>9328</v>
      </c>
      <c r="Y31" s="1" t="s">
        <v>30</v>
      </c>
      <c r="AG31" s="46"/>
      <c r="AH31" s="14">
        <f>7249/36.6243</f>
        <v>197.92869761333324</v>
      </c>
    </row>
    <row r="32" spans="1:34" ht="14.5" customHeight="1" x14ac:dyDescent="0.35">
      <c r="B32" s="53"/>
      <c r="C32" s="38"/>
      <c r="D32" s="38"/>
      <c r="G32" s="48"/>
      <c r="I32" s="40"/>
      <c r="J32" s="40"/>
      <c r="L32" s="44"/>
      <c r="R32" s="14"/>
      <c r="S32" s="14"/>
      <c r="AG32" s="38"/>
    </row>
    <row r="33" spans="1:34" ht="14.5" customHeight="1" x14ac:dyDescent="0.35">
      <c r="B33" s="52"/>
      <c r="C33"/>
      <c r="H33" s="6"/>
      <c r="I33" s="40"/>
      <c r="J33" s="40"/>
      <c r="L33" s="44"/>
    </row>
    <row r="34" spans="1:34" ht="14.5" customHeight="1" x14ac:dyDescent="0.35">
      <c r="A34" s="38"/>
      <c r="B34" s="72"/>
      <c r="C34" s="67"/>
      <c r="H34" s="6"/>
      <c r="I34" s="40"/>
      <c r="J34" s="40"/>
      <c r="L34" s="29"/>
      <c r="M34" s="30"/>
      <c r="N34" s="55"/>
      <c r="AH34" s="1">
        <f>5473.15/36.6243</f>
        <v>149.4403988608656</v>
      </c>
    </row>
    <row r="35" spans="1:34" ht="14.5" customHeight="1" x14ac:dyDescent="0.35">
      <c r="B35" s="53"/>
      <c r="C35" s="38"/>
      <c r="H35" s="6"/>
      <c r="I35" s="40"/>
      <c r="J35" s="40"/>
      <c r="O35" s="14"/>
      <c r="Q35" s="22"/>
      <c r="R35" s="22"/>
      <c r="S35" s="22"/>
      <c r="Z35" s="1" t="s">
        <v>37</v>
      </c>
      <c r="AA35" s="1" t="s">
        <v>38</v>
      </c>
      <c r="AB35" s="1" t="s">
        <v>25</v>
      </c>
      <c r="AC35" s="1" t="s">
        <v>26</v>
      </c>
    </row>
    <row r="36" spans="1:34" ht="14.5" customHeight="1" x14ac:dyDescent="0.35">
      <c r="B36" s="53"/>
      <c r="C36" s="38"/>
      <c r="D36" s="38"/>
      <c r="H36" s="6"/>
      <c r="I36" s="40"/>
      <c r="J36" s="40"/>
      <c r="M36" s="44"/>
      <c r="O36" s="14"/>
      <c r="P36" s="14"/>
      <c r="Q36" s="14"/>
      <c r="R36" s="14"/>
      <c r="S36" s="22"/>
      <c r="T36" s="22"/>
      <c r="U36" s="22"/>
      <c r="Z36" s="1" t="s">
        <v>30</v>
      </c>
      <c r="AB36" s="1" t="s">
        <v>30</v>
      </c>
      <c r="AC36" s="1">
        <f>+M34</f>
        <v>0</v>
      </c>
    </row>
    <row r="37" spans="1:34" ht="14.5" customHeight="1" x14ac:dyDescent="0.35">
      <c r="B37" s="53"/>
      <c r="C37" s="70"/>
      <c r="D37" s="38"/>
      <c r="H37" s="6"/>
      <c r="I37" s="40"/>
      <c r="J37" s="40"/>
      <c r="M37" s="44"/>
      <c r="O37" s="14"/>
      <c r="P37" s="14"/>
      <c r="Q37" s="14"/>
      <c r="R37" s="14"/>
      <c r="S37" s="22"/>
      <c r="T37" s="22"/>
      <c r="U37" s="22"/>
      <c r="Z37" s="1" t="s">
        <v>30</v>
      </c>
      <c r="AB37" s="1" t="s">
        <v>30</v>
      </c>
      <c r="AC37" s="1">
        <f>+AC36</f>
        <v>0</v>
      </c>
    </row>
    <row r="38" spans="1:34" ht="14.5" customHeight="1" x14ac:dyDescent="0.35">
      <c r="B38" s="53"/>
      <c r="C38" s="70"/>
      <c r="D38" s="38"/>
      <c r="H38" s="6"/>
      <c r="I38" s="40"/>
      <c r="J38" s="40"/>
      <c r="M38" s="44"/>
      <c r="O38" s="14"/>
      <c r="P38" s="14"/>
      <c r="Q38" s="14"/>
      <c r="R38" s="14"/>
      <c r="S38" s="22"/>
      <c r="T38" s="22"/>
      <c r="U38" s="22"/>
      <c r="Z38" s="1" t="s">
        <v>30</v>
      </c>
      <c r="AB38" s="1" t="s">
        <v>30</v>
      </c>
      <c r="AC38" s="1">
        <f>+AC37</f>
        <v>0</v>
      </c>
    </row>
    <row r="39" spans="1:34" ht="14.5" customHeight="1" x14ac:dyDescent="0.35">
      <c r="B39" s="53"/>
      <c r="C39" s="48"/>
      <c r="H39" s="6"/>
      <c r="I39" s="40"/>
      <c r="J39" s="40"/>
      <c r="M39" s="44"/>
      <c r="O39" s="14"/>
      <c r="P39" s="14"/>
      <c r="Q39" s="14"/>
      <c r="R39" s="14"/>
      <c r="S39" s="22"/>
      <c r="T39" s="22"/>
      <c r="U39" s="22"/>
      <c r="Z39" s="1" t="s">
        <v>30</v>
      </c>
      <c r="AB39" s="1" t="s">
        <v>30</v>
      </c>
      <c r="AC39" s="1">
        <f>+AC38</f>
        <v>0</v>
      </c>
    </row>
    <row r="40" spans="1:34" ht="14.5" customHeight="1" thickBot="1" x14ac:dyDescent="0.4">
      <c r="B40" s="56"/>
      <c r="C40" s="24"/>
      <c r="D40" s="24"/>
      <c r="E40" s="24"/>
      <c r="F40" s="24"/>
      <c r="G40" s="24"/>
      <c r="H40" s="25"/>
      <c r="I40" s="23"/>
      <c r="J40" s="56"/>
      <c r="M40" s="44"/>
      <c r="O40" s="14"/>
      <c r="P40" s="14"/>
      <c r="Q40" s="14"/>
      <c r="R40" s="14"/>
      <c r="S40" s="22"/>
      <c r="T40" s="22"/>
      <c r="U40" s="22"/>
      <c r="Z40" s="1" t="s">
        <v>30</v>
      </c>
      <c r="AB40" s="1" t="s">
        <v>30</v>
      </c>
      <c r="AC40" s="1">
        <f>+AC39</f>
        <v>0</v>
      </c>
    </row>
    <row r="41" spans="1:34" ht="14.5" customHeight="1" thickBot="1" x14ac:dyDescent="0.4">
      <c r="B41" s="97" t="s">
        <v>39</v>
      </c>
      <c r="C41" s="98"/>
      <c r="D41" s="98"/>
      <c r="E41" s="98"/>
      <c r="F41" s="98"/>
      <c r="G41" s="98"/>
      <c r="H41" s="99"/>
      <c r="I41" s="57">
        <f>SUM(I29:I40)</f>
        <v>3570.22</v>
      </c>
      <c r="J41" s="57">
        <f>SUM(J29:J40)</f>
        <v>3570.22</v>
      </c>
      <c r="K41" s="58" t="e">
        <f>+I41-#REF!</f>
        <v>#REF!</v>
      </c>
      <c r="O41" s="14"/>
      <c r="P41" s="14"/>
      <c r="Q41" s="14"/>
      <c r="R41" s="14"/>
      <c r="S41" s="22"/>
      <c r="T41" s="22"/>
      <c r="U41" s="22"/>
      <c r="Z41" s="1" t="s">
        <v>30</v>
      </c>
      <c r="AB41" s="1" t="s">
        <v>30</v>
      </c>
      <c r="AC41" s="1">
        <f>+AC39</f>
        <v>0</v>
      </c>
    </row>
    <row r="42" spans="1:34" ht="14.5" customHeight="1" x14ac:dyDescent="0.35">
      <c r="J42" s="14">
        <f>+J41-I41</f>
        <v>0</v>
      </c>
      <c r="O42" s="14"/>
      <c r="P42" s="14"/>
      <c r="Q42" s="14"/>
      <c r="R42" s="14"/>
      <c r="S42" s="22"/>
      <c r="T42" s="22"/>
      <c r="U42" s="22"/>
      <c r="Z42" s="1" t="s">
        <v>30</v>
      </c>
      <c r="AB42" s="1" t="s">
        <v>30</v>
      </c>
      <c r="AC42" s="1">
        <f>+AC41</f>
        <v>0</v>
      </c>
    </row>
    <row r="43" spans="1:34" ht="14.5" customHeight="1" x14ac:dyDescent="0.35">
      <c r="M43" s="1" t="s">
        <v>40</v>
      </c>
      <c r="N43" s="50">
        <v>0.15</v>
      </c>
      <c r="P43" s="59" t="e">
        <f>+#REF!*0.15</f>
        <v>#REF!</v>
      </c>
      <c r="Q43" s="14"/>
    </row>
    <row r="44" spans="1:34" ht="14.5" customHeight="1" x14ac:dyDescent="0.35">
      <c r="N44" s="50"/>
      <c r="P44" s="59"/>
    </row>
    <row r="45" spans="1:34" ht="14.5" customHeight="1" x14ac:dyDescent="0.35">
      <c r="B45" s="95" t="s">
        <v>41</v>
      </c>
      <c r="C45" s="95"/>
      <c r="G45" s="80"/>
      <c r="H45" s="79"/>
      <c r="I45" s="95" t="s">
        <v>42</v>
      </c>
      <c r="J45" s="95"/>
      <c r="M45" s="1" t="s">
        <v>43</v>
      </c>
      <c r="P45" s="59" t="e">
        <f>+#REF!-P43</f>
        <v>#REF!</v>
      </c>
    </row>
    <row r="46" spans="1:34" ht="14.5" customHeight="1" x14ac:dyDescent="0.35">
      <c r="B46" s="100" t="s">
        <v>44</v>
      </c>
      <c r="C46" s="100"/>
      <c r="H46" s="80"/>
      <c r="I46" s="100" t="s">
        <v>45</v>
      </c>
      <c r="J46" s="100"/>
      <c r="M46" s="1">
        <v>12040102</v>
      </c>
      <c r="N46" s="1" t="s">
        <v>46</v>
      </c>
      <c r="AG46" s="14">
        <f>4886.65/36.6243</f>
        <v>133.42644091491169</v>
      </c>
    </row>
    <row r="47" spans="1:34" ht="14.5" customHeight="1" x14ac:dyDescent="0.35">
      <c r="B47" s="100" t="s">
        <v>47</v>
      </c>
      <c r="C47" s="100"/>
      <c r="H47" s="79"/>
      <c r="I47" s="100" t="s">
        <v>48</v>
      </c>
      <c r="J47" s="100"/>
      <c r="M47" s="1" t="s">
        <v>49</v>
      </c>
    </row>
    <row r="49" spans="2:29" ht="14.5" customHeight="1" x14ac:dyDescent="0.35">
      <c r="F49" s="38"/>
      <c r="G49" s="63"/>
      <c r="H49" s="63"/>
      <c r="I49" s="63"/>
      <c r="J49" s="63"/>
      <c r="K49" s="63"/>
      <c r="O49" s="64"/>
    </row>
    <row r="50" spans="2:29" ht="14.5" customHeight="1" x14ac:dyDescent="0.35">
      <c r="B50" s="95" t="s">
        <v>50</v>
      </c>
      <c r="C50" s="95"/>
      <c r="E50" s="38"/>
      <c r="F50" s="95" t="s">
        <v>51</v>
      </c>
      <c r="G50" s="95"/>
      <c r="H50" s="95"/>
      <c r="J50" s="63"/>
    </row>
    <row r="51" spans="2:29" ht="14.5" customHeight="1" x14ac:dyDescent="0.35">
      <c r="B51" s="96"/>
      <c r="C51" s="96"/>
      <c r="E51" s="96"/>
      <c r="F51" s="96"/>
      <c r="G51" s="96"/>
      <c r="H51" s="96"/>
      <c r="I51" s="96"/>
      <c r="J51" s="38"/>
      <c r="L51" s="1" t="s">
        <v>52</v>
      </c>
    </row>
    <row r="52" spans="2:29" ht="14.5" customHeight="1" x14ac:dyDescent="0.35">
      <c r="L52" s="1" t="s">
        <v>11</v>
      </c>
      <c r="M52" s="1" t="s">
        <v>12</v>
      </c>
      <c r="N52" s="1" t="s">
        <v>13</v>
      </c>
      <c r="O52" s="14" t="s">
        <v>16</v>
      </c>
      <c r="P52" s="1" t="s">
        <v>17</v>
      </c>
      <c r="Q52" s="22" t="s">
        <v>53</v>
      </c>
      <c r="R52" s="22" t="s">
        <v>54</v>
      </c>
      <c r="S52" s="22" t="s">
        <v>19</v>
      </c>
      <c r="T52" s="1" t="s">
        <v>20</v>
      </c>
      <c r="U52" s="1" t="s">
        <v>21</v>
      </c>
      <c r="V52" s="1" t="s">
        <v>18</v>
      </c>
      <c r="W52" s="1" t="s">
        <v>22</v>
      </c>
      <c r="X52" s="1" t="s">
        <v>23</v>
      </c>
      <c r="Y52" s="1" t="s">
        <v>55</v>
      </c>
      <c r="Z52" s="1" t="s">
        <v>37</v>
      </c>
      <c r="AA52" s="1" t="s">
        <v>38</v>
      </c>
      <c r="AB52" s="1" t="s">
        <v>25</v>
      </c>
      <c r="AC52" s="1" t="s">
        <v>26</v>
      </c>
    </row>
    <row r="53" spans="2:29" ht="14.5" customHeight="1" x14ac:dyDescent="0.35">
      <c r="H53" s="38"/>
      <c r="I53" s="63"/>
      <c r="L53" s="1">
        <v>61020106</v>
      </c>
      <c r="M53" s="44" t="s">
        <v>56</v>
      </c>
      <c r="N53" s="1">
        <v>61020106</v>
      </c>
      <c r="O53" s="14">
        <v>20000</v>
      </c>
      <c r="P53" s="14"/>
      <c r="Q53" s="14" t="e">
        <f>O53/M34</f>
        <v>#DIV/0!</v>
      </c>
      <c r="R53" s="14"/>
      <c r="S53" s="22" t="s">
        <v>57</v>
      </c>
      <c r="T53" s="22" t="str">
        <f>+S53</f>
        <v>COMPLEMENTO CK14047 LEYSER RUANO VIATICO MAY-19</v>
      </c>
      <c r="U53" s="22" t="str">
        <f>+T53</f>
        <v>COMPLEMENTO CK14047 LEYSER RUANO VIATICO MAY-19</v>
      </c>
      <c r="V53" s="1" t="s">
        <v>58</v>
      </c>
      <c r="W53" s="1" t="s">
        <v>59</v>
      </c>
      <c r="X53" s="1" t="s">
        <v>60</v>
      </c>
      <c r="Y53" s="1" t="s">
        <v>61</v>
      </c>
      <c r="Z53" s="1" t="s">
        <v>30</v>
      </c>
      <c r="AB53" s="1" t="s">
        <v>30</v>
      </c>
      <c r="AC53" s="1">
        <f>+M51</f>
        <v>0</v>
      </c>
    </row>
    <row r="54" spans="2:29" ht="14.5" customHeight="1" x14ac:dyDescent="0.35">
      <c r="L54" s="1">
        <v>21010504</v>
      </c>
      <c r="M54" s="44" t="s">
        <v>31</v>
      </c>
      <c r="N54" s="1">
        <v>21010504</v>
      </c>
      <c r="O54" s="14"/>
      <c r="P54" s="14">
        <v>4000</v>
      </c>
      <c r="Q54" s="14"/>
      <c r="R54" s="14" t="e">
        <f>+P54/M34</f>
        <v>#DIV/0!</v>
      </c>
      <c r="S54" s="22" t="str">
        <f t="shared" ref="S54:U56" si="0">+S53</f>
        <v>COMPLEMENTO CK14047 LEYSER RUANO VIATICO MAY-19</v>
      </c>
      <c r="T54" s="22" t="str">
        <f t="shared" si="0"/>
        <v>COMPLEMENTO CK14047 LEYSER RUANO VIATICO MAY-19</v>
      </c>
      <c r="U54" s="22" t="str">
        <f t="shared" si="0"/>
        <v>COMPLEMENTO CK14047 LEYSER RUANO VIATICO MAY-19</v>
      </c>
      <c r="V54" s="1" t="s">
        <v>58</v>
      </c>
      <c r="Z54" s="1" t="s">
        <v>30</v>
      </c>
      <c r="AB54" s="1" t="s">
        <v>30</v>
      </c>
      <c r="AC54" s="1">
        <f>+AC53</f>
        <v>0</v>
      </c>
    </row>
    <row r="55" spans="2:29" ht="14.5" customHeight="1" x14ac:dyDescent="0.35">
      <c r="E55" s="38"/>
      <c r="L55" s="1">
        <v>11030503</v>
      </c>
      <c r="M55" s="44" t="s">
        <v>62</v>
      </c>
      <c r="N55" s="1">
        <v>11030503</v>
      </c>
      <c r="O55" s="14"/>
      <c r="P55" s="14" t="e">
        <f>ROUND(R55*$L$23,2)</f>
        <v>#DIV/0!</v>
      </c>
      <c r="Q55" s="14"/>
      <c r="R55" s="14" t="e">
        <f>+Q53-R54</f>
        <v>#DIV/0!</v>
      </c>
      <c r="S55" s="22" t="str">
        <f t="shared" si="0"/>
        <v>COMPLEMENTO CK14047 LEYSER RUANO VIATICO MAY-19</v>
      </c>
      <c r="T55" s="22" t="str">
        <f t="shared" si="0"/>
        <v>COMPLEMENTO CK14047 LEYSER RUANO VIATICO MAY-19</v>
      </c>
      <c r="U55" s="22" t="str">
        <f t="shared" si="0"/>
        <v>COMPLEMENTO CK14047 LEYSER RUANO VIATICO MAY-19</v>
      </c>
      <c r="V55" s="1" t="s">
        <v>58</v>
      </c>
      <c r="Z55" s="1" t="s">
        <v>30</v>
      </c>
      <c r="AB55" s="1" t="s">
        <v>30</v>
      </c>
      <c r="AC55" s="1" t="e">
        <f>+#REF!</f>
        <v>#REF!</v>
      </c>
    </row>
    <row r="56" spans="2:29" ht="14.5" customHeight="1" x14ac:dyDescent="0.35">
      <c r="L56" s="1">
        <v>11030503</v>
      </c>
      <c r="M56" s="44" t="s">
        <v>62</v>
      </c>
      <c r="N56" s="1">
        <v>11030503</v>
      </c>
      <c r="O56" s="14">
        <v>1400</v>
      </c>
      <c r="P56" s="14"/>
      <c r="Q56" s="14" t="e">
        <f>+R57</f>
        <v>#DIV/0!</v>
      </c>
      <c r="R56" s="14"/>
      <c r="S56" s="22" t="str">
        <f t="shared" si="0"/>
        <v>COMPLEMENTO CK14047 LEYSER RUANO VIATICO MAY-19</v>
      </c>
      <c r="T56" s="22" t="str">
        <f t="shared" si="0"/>
        <v>COMPLEMENTO CK14047 LEYSER RUANO VIATICO MAY-19</v>
      </c>
      <c r="U56" s="22" t="str">
        <f t="shared" si="0"/>
        <v>COMPLEMENTO CK14047 LEYSER RUANO VIATICO MAY-19</v>
      </c>
      <c r="V56" s="1" t="s">
        <v>58</v>
      </c>
      <c r="Z56" s="1" t="s">
        <v>30</v>
      </c>
      <c r="AB56" s="1" t="s">
        <v>30</v>
      </c>
      <c r="AC56" s="1" t="e">
        <f>+#REF!</f>
        <v>#REF!</v>
      </c>
    </row>
    <row r="57" spans="2:29" ht="14.5" customHeight="1" x14ac:dyDescent="0.35">
      <c r="L57" s="1">
        <v>21010510</v>
      </c>
      <c r="M57" s="1" t="s">
        <v>63</v>
      </c>
      <c r="N57" s="1">
        <v>21010510</v>
      </c>
      <c r="O57" s="14"/>
      <c r="P57" s="14">
        <f>ROUND(O53*7%,2)</f>
        <v>1400</v>
      </c>
      <c r="Q57" s="14"/>
      <c r="R57" s="14" t="e">
        <f>(ROUND(Q53*7%,2))</f>
        <v>#DIV/0!</v>
      </c>
      <c r="S57" s="22">
        <f t="shared" ref="S57:U62" si="1">+$S$36</f>
        <v>0</v>
      </c>
      <c r="T57" s="22">
        <f t="shared" si="1"/>
        <v>0</v>
      </c>
      <c r="U57" s="22">
        <f t="shared" si="1"/>
        <v>0</v>
      </c>
      <c r="V57" s="1" t="s">
        <v>58</v>
      </c>
      <c r="Z57" s="1" t="s">
        <v>30</v>
      </c>
      <c r="AB57" s="1" t="s">
        <v>30</v>
      </c>
      <c r="AC57" s="1" t="e">
        <f>+AC55</f>
        <v>#REF!</v>
      </c>
    </row>
    <row r="58" spans="2:29" ht="14.5" customHeight="1" x14ac:dyDescent="0.35">
      <c r="L58" s="1">
        <v>61010205</v>
      </c>
      <c r="M58" s="1" t="s">
        <v>64</v>
      </c>
      <c r="N58" s="1">
        <v>61010205</v>
      </c>
      <c r="O58" s="14">
        <f>ROUND(O53*21.5%,2)</f>
        <v>4300</v>
      </c>
      <c r="P58" s="14"/>
      <c r="Q58" s="14"/>
      <c r="R58" s="14"/>
      <c r="S58" s="22">
        <f t="shared" si="1"/>
        <v>0</v>
      </c>
      <c r="T58" s="22">
        <f t="shared" si="1"/>
        <v>0</v>
      </c>
      <c r="U58" s="22">
        <f t="shared" si="1"/>
        <v>0</v>
      </c>
      <c r="V58" s="1" t="s">
        <v>58</v>
      </c>
      <c r="W58" s="1" t="s">
        <v>59</v>
      </c>
      <c r="X58" s="1" t="s">
        <v>60</v>
      </c>
      <c r="Y58" s="1" t="s">
        <v>61</v>
      </c>
      <c r="Z58" s="1" t="s">
        <v>30</v>
      </c>
      <c r="AB58" s="1" t="s">
        <v>30</v>
      </c>
      <c r="AC58" s="1" t="e">
        <f>+AC57</f>
        <v>#REF!</v>
      </c>
    </row>
    <row r="59" spans="2:29" ht="14.5" customHeight="1" x14ac:dyDescent="0.35">
      <c r="L59" s="1">
        <v>61010206</v>
      </c>
      <c r="M59" s="1" t="s">
        <v>65</v>
      </c>
      <c r="N59" s="1">
        <v>61010206</v>
      </c>
      <c r="O59" s="14">
        <f>ROUND(O53*2%,2)</f>
        <v>400</v>
      </c>
      <c r="P59" s="14"/>
      <c r="Q59" s="14"/>
      <c r="R59" s="14"/>
      <c r="S59" s="22">
        <f t="shared" si="1"/>
        <v>0</v>
      </c>
      <c r="T59" s="22">
        <f t="shared" si="1"/>
        <v>0</v>
      </c>
      <c r="U59" s="22">
        <f t="shared" si="1"/>
        <v>0</v>
      </c>
      <c r="V59" s="1" t="s">
        <v>58</v>
      </c>
      <c r="W59" s="1" t="s">
        <v>59</v>
      </c>
      <c r="X59" s="1" t="s">
        <v>60</v>
      </c>
      <c r="Y59" s="1" t="s">
        <v>61</v>
      </c>
      <c r="Z59" s="1" t="s">
        <v>30</v>
      </c>
      <c r="AB59" s="1" t="s">
        <v>30</v>
      </c>
      <c r="AC59" s="1" t="e">
        <f>+AC58</f>
        <v>#REF!</v>
      </c>
    </row>
    <row r="60" spans="2:29" ht="14.5" customHeight="1" x14ac:dyDescent="0.35">
      <c r="L60" s="1">
        <v>21010509</v>
      </c>
      <c r="M60" s="1" t="s">
        <v>66</v>
      </c>
      <c r="N60" s="1">
        <v>21010509</v>
      </c>
      <c r="O60" s="14"/>
      <c r="P60" s="14">
        <f>+O58</f>
        <v>4300</v>
      </c>
      <c r="Q60" s="14"/>
      <c r="R60" s="14"/>
      <c r="S60" s="22">
        <f t="shared" si="1"/>
        <v>0</v>
      </c>
      <c r="T60" s="22">
        <f t="shared" si="1"/>
        <v>0</v>
      </c>
      <c r="U60" s="22">
        <f t="shared" si="1"/>
        <v>0</v>
      </c>
      <c r="V60" s="1" t="s">
        <v>58</v>
      </c>
      <c r="Z60" s="1" t="s">
        <v>30</v>
      </c>
      <c r="AB60" s="1" t="s">
        <v>30</v>
      </c>
      <c r="AC60" s="1" t="e">
        <f>+AC59</f>
        <v>#REF!</v>
      </c>
    </row>
    <row r="61" spans="2:29" ht="14.5" customHeight="1" x14ac:dyDescent="0.35">
      <c r="L61" s="1">
        <v>21010511</v>
      </c>
      <c r="M61" s="1" t="s">
        <v>67</v>
      </c>
      <c r="N61" s="1">
        <v>21010511</v>
      </c>
      <c r="O61" s="14"/>
      <c r="P61" s="14">
        <f>+O59</f>
        <v>400</v>
      </c>
      <c r="Q61" s="14"/>
      <c r="R61" s="14"/>
      <c r="S61" s="22">
        <f t="shared" si="1"/>
        <v>0</v>
      </c>
      <c r="T61" s="22">
        <f t="shared" si="1"/>
        <v>0</v>
      </c>
      <c r="U61" s="22">
        <f t="shared" si="1"/>
        <v>0</v>
      </c>
      <c r="V61" s="1" t="s">
        <v>58</v>
      </c>
      <c r="Z61" s="1" t="s">
        <v>30</v>
      </c>
      <c r="AB61" s="1" t="s">
        <v>30</v>
      </c>
      <c r="AC61" s="1" t="e">
        <f>+AC60</f>
        <v>#REF!</v>
      </c>
    </row>
    <row r="62" spans="2:29" ht="14.5" customHeight="1" x14ac:dyDescent="0.35">
      <c r="L62" s="1">
        <v>81010102</v>
      </c>
      <c r="M62" s="1" t="s">
        <v>68</v>
      </c>
      <c r="N62" s="1">
        <v>81010102</v>
      </c>
      <c r="O62" s="14"/>
      <c r="P62" s="14" t="e">
        <f>(SUM(O53:O61)-SUM(P53:P61))</f>
        <v>#DIV/0!</v>
      </c>
      <c r="Q62" s="14"/>
      <c r="R62" s="14"/>
      <c r="S62" s="22">
        <f t="shared" si="1"/>
        <v>0</v>
      </c>
      <c r="T62" s="22">
        <f t="shared" si="1"/>
        <v>0</v>
      </c>
      <c r="U62" s="22">
        <f t="shared" si="1"/>
        <v>0</v>
      </c>
      <c r="V62" s="1" t="s">
        <v>58</v>
      </c>
      <c r="Z62" s="1" t="s">
        <v>30</v>
      </c>
      <c r="AB62" s="1" t="s">
        <v>30</v>
      </c>
      <c r="AC62" s="1" t="e">
        <f>+AC61</f>
        <v>#REF!</v>
      </c>
    </row>
    <row r="63" spans="2:29" ht="14.5" customHeight="1" x14ac:dyDescent="0.35">
      <c r="N63" s="14" t="e">
        <f>+O63-P63</f>
        <v>#DIV/0!</v>
      </c>
      <c r="O63" s="14">
        <f>SUM(O53:O62)</f>
        <v>26100</v>
      </c>
      <c r="P63" s="14" t="e">
        <f>SUM(P53:P62)</f>
        <v>#DIV/0!</v>
      </c>
      <c r="Q63" s="14" t="e">
        <f>SUM(Q53:Q62)</f>
        <v>#DIV/0!</v>
      </c>
      <c r="R63" s="14" t="e">
        <f>SUM(R53:R62)</f>
        <v>#DIV/0!</v>
      </c>
      <c r="S63" s="14" t="e">
        <f>+Q63-R63</f>
        <v>#DIV/0!</v>
      </c>
      <c r="T63" s="14"/>
    </row>
  </sheetData>
  <mergeCells count="17">
    <mergeCell ref="B50:C50"/>
    <mergeCell ref="F50:H50"/>
    <mergeCell ref="B51:C51"/>
    <mergeCell ref="E51:I51"/>
    <mergeCell ref="B41:H41"/>
    <mergeCell ref="B45:C45"/>
    <mergeCell ref="I45:J45"/>
    <mergeCell ref="B46:C46"/>
    <mergeCell ref="I46:J46"/>
    <mergeCell ref="B47:C47"/>
    <mergeCell ref="I47:J47"/>
    <mergeCell ref="C28:H28"/>
    <mergeCell ref="B3:J3"/>
    <mergeCell ref="B4:J4"/>
    <mergeCell ref="C5:H5"/>
    <mergeCell ref="C6:H6"/>
    <mergeCell ref="C23:J25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10" zoomScaleNormal="100" zoomScaleSheetLayoutView="128" workbookViewId="0">
      <selection activeCell="J14" sqref="J14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161</v>
      </c>
      <c r="J5" s="9">
        <v>45660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162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 t="s">
        <v>115</v>
      </c>
      <c r="C13" s="69" t="s">
        <v>116</v>
      </c>
      <c r="D13" s="38"/>
      <c r="E13" s="38"/>
      <c r="F13" s="38"/>
      <c r="G13" s="38"/>
      <c r="H13" s="39"/>
      <c r="I13" s="40">
        <f>970*36.6243</f>
        <v>35525.570999999996</v>
      </c>
      <c r="J13" s="40"/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119</v>
      </c>
      <c r="C14" s="67" t="s">
        <v>117</v>
      </c>
      <c r="F14" s="38"/>
      <c r="G14" s="38"/>
      <c r="H14" s="39"/>
      <c r="I14" s="40"/>
      <c r="J14" s="40">
        <f>+I13</f>
        <v>35525.570999999996</v>
      </c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/>
      <c r="C15" s="67"/>
      <c r="H15" s="39"/>
      <c r="I15" s="40"/>
      <c r="J15" s="40"/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/>
      <c r="C16" s="67"/>
      <c r="D16" s="48"/>
      <c r="E16" s="48"/>
      <c r="F16" s="48"/>
      <c r="G16" s="48"/>
      <c r="H16" s="39"/>
      <c r="I16" s="40"/>
      <c r="J16" s="40"/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/>
      <c r="C17" s="69"/>
      <c r="D17" s="48"/>
      <c r="E17" s="48"/>
      <c r="F17" s="48"/>
      <c r="G17" s="48"/>
      <c r="I17" s="40"/>
      <c r="J17" s="40"/>
      <c r="L17" s="44"/>
      <c r="R17" s="14"/>
      <c r="S17" s="14"/>
      <c r="AG17" s="38"/>
    </row>
    <row r="18" spans="1:33" ht="14.5" customHeight="1" x14ac:dyDescent="0.35">
      <c r="B18" s="52"/>
      <c r="C18"/>
      <c r="H18" s="6"/>
      <c r="I18" s="40"/>
      <c r="J18" s="40"/>
      <c r="L18" s="44"/>
    </row>
    <row r="19" spans="1:33" ht="14.5" customHeight="1" x14ac:dyDescent="0.35">
      <c r="A19" s="38"/>
      <c r="B19" s="72"/>
      <c r="C19" s="67"/>
      <c r="H19" s="6"/>
      <c r="I19" s="40"/>
      <c r="J19" s="40"/>
      <c r="L19" s="29"/>
      <c r="M19" s="30"/>
      <c r="N19" s="55"/>
    </row>
    <row r="20" spans="1:33" ht="14.5" customHeight="1" x14ac:dyDescent="0.35">
      <c r="B20" s="53"/>
      <c r="C20" s="38"/>
      <c r="H20" s="6"/>
      <c r="I20" s="40"/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35525.570999999996</v>
      </c>
      <c r="J26" s="57">
        <f>SUM(J13:J25)</f>
        <v>35525.570999999996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74"/>
      <c r="H30" s="73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74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3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4" zoomScaleNormal="100" zoomScaleSheetLayoutView="128" workbookViewId="0">
      <selection activeCell="I13" sqref="I13:J1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161</v>
      </c>
      <c r="J5" s="9">
        <v>45671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167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 t="s">
        <v>134</v>
      </c>
      <c r="C13" s="69" t="s">
        <v>135</v>
      </c>
      <c r="D13" s="38"/>
      <c r="E13" s="38"/>
      <c r="F13" s="38"/>
      <c r="G13" s="38"/>
      <c r="H13" s="39"/>
      <c r="I13" s="40">
        <v>4060</v>
      </c>
      <c r="J13" s="40">
        <v>42</v>
      </c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143</v>
      </c>
      <c r="C14" s="67" t="s">
        <v>144</v>
      </c>
      <c r="F14" s="38"/>
      <c r="G14" s="38"/>
      <c r="H14" s="39"/>
      <c r="I14" s="40"/>
      <c r="J14" s="40">
        <v>4130</v>
      </c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 t="s">
        <v>100</v>
      </c>
      <c r="C15" s="67" t="s">
        <v>101</v>
      </c>
      <c r="H15" s="39"/>
      <c r="I15" s="40">
        <v>70</v>
      </c>
      <c r="J15" s="40"/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 t="s">
        <v>100</v>
      </c>
      <c r="C16" s="67" t="s">
        <v>101</v>
      </c>
      <c r="D16" s="48"/>
      <c r="E16" s="48"/>
      <c r="F16" s="48"/>
      <c r="G16" s="48"/>
      <c r="H16" s="39"/>
      <c r="I16" s="40">
        <v>42</v>
      </c>
      <c r="J16" s="40"/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/>
      <c r="C17" s="69"/>
      <c r="D17" s="48"/>
      <c r="E17" s="48"/>
      <c r="F17" s="48"/>
      <c r="G17" s="48"/>
      <c r="I17" s="40"/>
      <c r="J17" s="40"/>
      <c r="L17" s="44"/>
      <c r="R17" s="14"/>
      <c r="S17" s="14"/>
      <c r="AG17" s="38"/>
    </row>
    <row r="18" spans="1:33" ht="14.5" customHeight="1" x14ac:dyDescent="0.35">
      <c r="B18" s="52"/>
      <c r="C18"/>
      <c r="H18" s="6"/>
      <c r="I18" s="40"/>
      <c r="J18" s="40"/>
      <c r="L18" s="44"/>
    </row>
    <row r="19" spans="1:33" ht="14.5" customHeight="1" x14ac:dyDescent="0.35">
      <c r="A19" s="38"/>
      <c r="B19" s="72"/>
      <c r="C19" s="67"/>
      <c r="H19" s="6"/>
      <c r="I19" s="40"/>
      <c r="J19" s="40"/>
      <c r="L19" s="29"/>
      <c r="M19" s="30"/>
      <c r="N19" s="55"/>
    </row>
    <row r="20" spans="1:33" ht="14.5" customHeight="1" x14ac:dyDescent="0.35">
      <c r="B20" s="53"/>
      <c r="C20" s="38"/>
      <c r="H20" s="6"/>
      <c r="I20" s="40"/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4172</v>
      </c>
      <c r="J26" s="57">
        <f>SUM(J13:J25)</f>
        <v>4172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76"/>
      <c r="H30" s="75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76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5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4" zoomScaleNormal="100" zoomScaleSheetLayoutView="128" workbookViewId="0">
      <selection activeCell="I13" sqref="I13:J1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168</v>
      </c>
      <c r="J5" s="9">
        <v>45671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183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 t="s">
        <v>171</v>
      </c>
      <c r="C13" s="69" t="s">
        <v>172</v>
      </c>
      <c r="D13" s="38"/>
      <c r="E13" s="38"/>
      <c r="F13" s="38"/>
      <c r="G13" s="38"/>
      <c r="H13" s="39"/>
      <c r="I13" s="40">
        <v>5280.31</v>
      </c>
      <c r="J13" s="40"/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169</v>
      </c>
      <c r="C14" s="67" t="s">
        <v>170</v>
      </c>
      <c r="F14" s="38"/>
      <c r="G14" s="38"/>
      <c r="H14" s="39"/>
      <c r="I14" s="40">
        <v>750</v>
      </c>
      <c r="J14" s="40"/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 t="s">
        <v>173</v>
      </c>
      <c r="C15" s="67" t="s">
        <v>174</v>
      </c>
      <c r="H15" s="39"/>
      <c r="I15" s="40"/>
      <c r="J15" s="40">
        <v>3662.43</v>
      </c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 t="s">
        <v>155</v>
      </c>
      <c r="C16" s="67" t="s">
        <v>156</v>
      </c>
      <c r="D16" s="48"/>
      <c r="E16" s="48"/>
      <c r="F16" s="48"/>
      <c r="G16" s="48"/>
      <c r="H16" s="39"/>
      <c r="I16" s="40"/>
      <c r="J16" s="40">
        <v>2367.88</v>
      </c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/>
      <c r="C17" s="69"/>
      <c r="D17" s="48"/>
      <c r="E17" s="48"/>
      <c r="F17" s="48"/>
      <c r="G17" s="48"/>
      <c r="I17" s="40"/>
      <c r="J17" s="40"/>
      <c r="L17" s="44"/>
      <c r="R17" s="14"/>
      <c r="S17" s="14"/>
      <c r="AG17" s="38"/>
    </row>
    <row r="18" spans="1:33" ht="14.5" customHeight="1" x14ac:dyDescent="0.35">
      <c r="B18" s="52"/>
      <c r="C18"/>
      <c r="H18" s="6"/>
      <c r="I18" s="40"/>
      <c r="J18" s="40"/>
      <c r="L18" s="44"/>
    </row>
    <row r="19" spans="1:33" ht="14.5" customHeight="1" x14ac:dyDescent="0.35">
      <c r="A19" s="38"/>
      <c r="B19" s="72"/>
      <c r="C19" s="67"/>
      <c r="H19" s="6"/>
      <c r="I19" s="40"/>
      <c r="J19" s="40"/>
      <c r="L19" s="29"/>
      <c r="M19" s="30"/>
      <c r="N19" s="55"/>
    </row>
    <row r="20" spans="1:33" ht="14.5" customHeight="1" x14ac:dyDescent="0.35">
      <c r="B20" s="53"/>
      <c r="C20" s="38"/>
      <c r="H20" s="6"/>
      <c r="I20" s="40"/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6030.31</v>
      </c>
      <c r="J26" s="57">
        <f>SUM(J13:J25)</f>
        <v>6030.3099999999995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78"/>
      <c r="H30" s="77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78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7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7" zoomScaleNormal="100" zoomScaleSheetLayoutView="128" workbookViewId="0">
      <selection activeCell="I13" sqref="I13:J2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198</v>
      </c>
      <c r="J5" s="9">
        <v>45671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199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 t="s">
        <v>200</v>
      </c>
      <c r="C13" s="69" t="s">
        <v>201</v>
      </c>
      <c r="D13" s="38"/>
      <c r="E13" s="38"/>
      <c r="F13" s="38"/>
      <c r="G13" s="38"/>
      <c r="H13" s="39"/>
      <c r="I13" s="40"/>
      <c r="J13" s="40">
        <v>57964.82</v>
      </c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202</v>
      </c>
      <c r="C14" s="67" t="s">
        <v>203</v>
      </c>
      <c r="F14" s="38"/>
      <c r="G14" s="38"/>
      <c r="H14" s="39"/>
      <c r="I14" s="40"/>
      <c r="J14" s="40">
        <v>4717.66</v>
      </c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 t="s">
        <v>109</v>
      </c>
      <c r="C15" s="67" t="s">
        <v>110</v>
      </c>
      <c r="H15" s="39"/>
      <c r="I15" s="40"/>
      <c r="J15" s="40">
        <v>4712.62</v>
      </c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 t="s">
        <v>204</v>
      </c>
      <c r="C16" s="67" t="s">
        <v>205</v>
      </c>
      <c r="D16" s="48"/>
      <c r="E16" s="48"/>
      <c r="F16" s="48"/>
      <c r="G16" s="48"/>
      <c r="H16" s="39"/>
      <c r="I16" s="40"/>
      <c r="J16" s="40">
        <v>1347.9</v>
      </c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 t="s">
        <v>206</v>
      </c>
      <c r="C17" s="69" t="s">
        <v>207</v>
      </c>
      <c r="D17" s="48"/>
      <c r="E17" s="48"/>
      <c r="F17" s="48"/>
      <c r="G17" s="48"/>
      <c r="I17" s="40">
        <v>1347.9</v>
      </c>
      <c r="J17" s="40"/>
      <c r="L17" s="44"/>
      <c r="R17" s="14"/>
      <c r="S17" s="14"/>
      <c r="AG17" s="38"/>
    </row>
    <row r="18" spans="1:33" ht="14.5" customHeight="1" x14ac:dyDescent="0.35">
      <c r="B18" s="52" t="s">
        <v>208</v>
      </c>
      <c r="C18" t="s">
        <v>209</v>
      </c>
      <c r="H18" s="6"/>
      <c r="I18" s="40"/>
      <c r="J18" s="40">
        <v>14489.95</v>
      </c>
      <c r="L18" s="44"/>
    </row>
    <row r="19" spans="1:33" ht="14.5" customHeight="1" x14ac:dyDescent="0.35">
      <c r="A19" s="38"/>
      <c r="B19" s="72" t="s">
        <v>210</v>
      </c>
      <c r="C19" s="67" t="s">
        <v>211</v>
      </c>
      <c r="H19" s="6"/>
      <c r="I19" s="40">
        <v>14489.95</v>
      </c>
      <c r="J19" s="40"/>
      <c r="L19" s="29"/>
      <c r="M19" s="30"/>
      <c r="N19" s="55"/>
    </row>
    <row r="20" spans="1:33" ht="14.5" customHeight="1" x14ac:dyDescent="0.35">
      <c r="B20" s="53" t="s">
        <v>212</v>
      </c>
      <c r="C20" s="38" t="s">
        <v>201</v>
      </c>
      <c r="H20" s="6"/>
      <c r="I20" s="40">
        <v>67395.100000000006</v>
      </c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83232.950000000012</v>
      </c>
      <c r="J26" s="57">
        <f>SUM(J13:J25)</f>
        <v>83232.949999999983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78"/>
      <c r="H30" s="77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78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7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7" zoomScaleNormal="100" zoomScaleSheetLayoutView="128" workbookViewId="0">
      <selection activeCell="I14" sqref="I14:J1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219</v>
      </c>
      <c r="J5" s="9">
        <v>45671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220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/>
      <c r="C13" s="69"/>
      <c r="D13" s="38"/>
      <c r="E13" s="38"/>
      <c r="F13" s="38"/>
      <c r="G13" s="38"/>
      <c r="H13" s="39"/>
      <c r="I13" s="40"/>
      <c r="J13" s="40"/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74</v>
      </c>
      <c r="C14" s="67" t="s">
        <v>75</v>
      </c>
      <c r="F14" s="38"/>
      <c r="G14" s="38"/>
      <c r="H14" s="39"/>
      <c r="I14" s="40"/>
      <c r="J14" s="40">
        <f>921.51*37.3</f>
        <v>34372.322999999997</v>
      </c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 t="s">
        <v>115</v>
      </c>
      <c r="C15" s="67" t="s">
        <v>116</v>
      </c>
      <c r="H15" s="39"/>
      <c r="I15" s="40">
        <f>921.51*36.6243</f>
        <v>33749.658692999998</v>
      </c>
      <c r="J15" s="40"/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 t="s">
        <v>189</v>
      </c>
      <c r="C16" s="67" t="s">
        <v>122</v>
      </c>
      <c r="D16" s="48"/>
      <c r="E16" s="48"/>
      <c r="F16" s="48"/>
      <c r="G16" s="48"/>
      <c r="H16" s="39"/>
      <c r="I16" s="40">
        <f>+J14-I15</f>
        <v>622.6643069999991</v>
      </c>
      <c r="J16" s="40"/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/>
      <c r="C17" s="69"/>
      <c r="D17" s="48"/>
      <c r="E17" s="48"/>
      <c r="F17" s="48"/>
      <c r="G17" s="48"/>
      <c r="I17" s="40"/>
      <c r="J17" s="40"/>
      <c r="L17" s="44"/>
      <c r="R17" s="14"/>
      <c r="S17" s="14"/>
      <c r="AG17" s="38"/>
    </row>
    <row r="18" spans="1:33" ht="14.5" customHeight="1" x14ac:dyDescent="0.35">
      <c r="B18" s="52"/>
      <c r="C18"/>
      <c r="H18" s="6"/>
      <c r="I18" s="40"/>
      <c r="J18" s="40"/>
      <c r="L18" s="44"/>
    </row>
    <row r="19" spans="1:33" ht="14.5" customHeight="1" x14ac:dyDescent="0.35">
      <c r="A19" s="38"/>
      <c r="B19" s="72"/>
      <c r="C19" s="67"/>
      <c r="H19" s="6"/>
      <c r="I19" s="40"/>
      <c r="J19" s="40"/>
      <c r="L19" s="29"/>
      <c r="M19" s="30"/>
      <c r="N19" s="55"/>
    </row>
    <row r="20" spans="1:33" ht="14.5" customHeight="1" x14ac:dyDescent="0.35">
      <c r="B20" s="53"/>
      <c r="C20" s="38"/>
      <c r="H20" s="6"/>
      <c r="I20" s="40"/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34372.322999999997</v>
      </c>
      <c r="J26" s="57">
        <f>SUM(J13:J25)</f>
        <v>34372.322999999997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78"/>
      <c r="H30" s="77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78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7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7" zoomScaleNormal="100" zoomScaleSheetLayoutView="128" workbookViewId="0">
      <selection activeCell="I14" sqref="I14:J16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224</v>
      </c>
      <c r="J5" s="9">
        <v>45671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225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/>
      <c r="C13" s="69"/>
      <c r="D13" s="38"/>
      <c r="E13" s="38"/>
      <c r="F13" s="38"/>
      <c r="G13" s="38"/>
      <c r="H13" s="39"/>
      <c r="I13" s="40"/>
      <c r="J13" s="40"/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119</v>
      </c>
      <c r="C14" s="67" t="s">
        <v>117</v>
      </c>
      <c r="F14" s="38"/>
      <c r="G14" s="38"/>
      <c r="H14" s="39"/>
      <c r="I14" s="40"/>
      <c r="J14" s="40">
        <v>41030</v>
      </c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 t="s">
        <v>115</v>
      </c>
      <c r="C15" s="67" t="s">
        <v>116</v>
      </c>
      <c r="H15" s="39"/>
      <c r="I15" s="40">
        <f>1100*36.6243</f>
        <v>40286.729999999996</v>
      </c>
      <c r="J15" s="40"/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 t="s">
        <v>189</v>
      </c>
      <c r="C16" s="67" t="s">
        <v>122</v>
      </c>
      <c r="D16" s="48"/>
      <c r="E16" s="48"/>
      <c r="F16" s="48"/>
      <c r="G16" s="48"/>
      <c r="H16" s="39"/>
      <c r="I16" s="40">
        <f>+J14-I15</f>
        <v>743.27000000000407</v>
      </c>
      <c r="J16" s="40"/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/>
      <c r="C17" s="69"/>
      <c r="D17" s="48"/>
      <c r="E17" s="48"/>
      <c r="F17" s="48"/>
      <c r="G17" s="48"/>
      <c r="I17" s="40"/>
      <c r="J17" s="40"/>
      <c r="L17" s="44"/>
      <c r="R17" s="14"/>
      <c r="S17" s="14"/>
      <c r="AG17" s="38"/>
    </row>
    <row r="18" spans="1:33" ht="14.5" customHeight="1" x14ac:dyDescent="0.35">
      <c r="B18" s="52"/>
      <c r="C18"/>
      <c r="H18" s="6"/>
      <c r="I18" s="40"/>
      <c r="J18" s="40"/>
      <c r="L18" s="44"/>
    </row>
    <row r="19" spans="1:33" ht="14.5" customHeight="1" x14ac:dyDescent="0.35">
      <c r="A19" s="38"/>
      <c r="B19" s="72"/>
      <c r="C19" s="67"/>
      <c r="H19" s="6"/>
      <c r="I19" s="40"/>
      <c r="J19" s="40"/>
      <c r="L19" s="29"/>
      <c r="M19" s="30"/>
      <c r="N19" s="55"/>
    </row>
    <row r="20" spans="1:33" ht="14.5" customHeight="1" x14ac:dyDescent="0.35">
      <c r="B20" s="53"/>
      <c r="C20" s="38"/>
      <c r="H20" s="6"/>
      <c r="I20" s="40"/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41030</v>
      </c>
      <c r="J26" s="57">
        <f>SUM(J13:J25)</f>
        <v>41030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80"/>
      <c r="H30" s="79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80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9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topLeftCell="A4" zoomScaleNormal="100" zoomScaleSheetLayoutView="128" workbookViewId="0">
      <selection activeCell="I13" sqref="I13:J20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256</v>
      </c>
      <c r="J5" s="9">
        <v>45686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257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 t="s">
        <v>200</v>
      </c>
      <c r="C13" s="69" t="s">
        <v>201</v>
      </c>
      <c r="D13" s="38"/>
      <c r="E13" s="38"/>
      <c r="F13" s="38"/>
      <c r="G13" s="38"/>
      <c r="H13" s="39"/>
      <c r="I13" s="40"/>
      <c r="J13" s="40">
        <v>60618.23</v>
      </c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202</v>
      </c>
      <c r="C14" s="67" t="s">
        <v>203</v>
      </c>
      <c r="F14" s="38"/>
      <c r="G14" s="38"/>
      <c r="H14" s="39"/>
      <c r="I14" s="40"/>
      <c r="J14" s="40">
        <v>4961.0200000000004</v>
      </c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 t="s">
        <v>109</v>
      </c>
      <c r="C15" s="67" t="s">
        <v>110</v>
      </c>
      <c r="H15" s="39"/>
      <c r="I15" s="40"/>
      <c r="J15" s="40">
        <v>5292.51</v>
      </c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 t="s">
        <v>204</v>
      </c>
      <c r="C16" s="67" t="s">
        <v>205</v>
      </c>
      <c r="D16" s="48"/>
      <c r="E16" s="48"/>
      <c r="F16" s="48"/>
      <c r="G16" s="48"/>
      <c r="H16" s="39"/>
      <c r="I16" s="40"/>
      <c r="J16" s="40">
        <v>1417.44</v>
      </c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 t="s">
        <v>206</v>
      </c>
      <c r="C17" s="69" t="s">
        <v>207</v>
      </c>
      <c r="D17" s="48"/>
      <c r="E17" s="48"/>
      <c r="F17" s="48"/>
      <c r="G17" s="48"/>
      <c r="I17" s="40">
        <v>1417.44</v>
      </c>
      <c r="J17" s="40"/>
      <c r="L17" s="44"/>
      <c r="R17" s="14"/>
      <c r="S17" s="14"/>
      <c r="AG17" s="38"/>
    </row>
    <row r="18" spans="1:33" ht="14.5" customHeight="1" x14ac:dyDescent="0.35">
      <c r="B18" s="52" t="s">
        <v>208</v>
      </c>
      <c r="C18" t="s">
        <v>209</v>
      </c>
      <c r="H18" s="6"/>
      <c r="I18" s="40"/>
      <c r="J18" s="40">
        <v>15237.43</v>
      </c>
      <c r="L18" s="44"/>
    </row>
    <row r="19" spans="1:33" ht="14.5" customHeight="1" x14ac:dyDescent="0.35">
      <c r="A19" s="38"/>
      <c r="B19" s="72" t="s">
        <v>210</v>
      </c>
      <c r="C19" s="67" t="s">
        <v>211</v>
      </c>
      <c r="H19" s="6"/>
      <c r="I19" s="40">
        <v>15237.43</v>
      </c>
      <c r="J19" s="40"/>
      <c r="L19" s="29"/>
      <c r="M19" s="30"/>
      <c r="N19" s="55"/>
    </row>
    <row r="20" spans="1:33" ht="14.5" customHeight="1" x14ac:dyDescent="0.35">
      <c r="B20" s="53" t="s">
        <v>212</v>
      </c>
      <c r="C20" s="38" t="s">
        <v>201</v>
      </c>
      <c r="H20" s="6"/>
      <c r="I20" s="40">
        <v>70871.759999999995</v>
      </c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87526.62999999999</v>
      </c>
      <c r="J26" s="57">
        <f>SUM(J13:J25)</f>
        <v>87526.63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80"/>
      <c r="H30" s="79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80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79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AH45"/>
  <sheetViews>
    <sheetView zoomScaleNormal="100" zoomScaleSheetLayoutView="128" workbookViewId="0">
      <selection activeCell="I13" sqref="I13:J14"/>
    </sheetView>
  </sheetViews>
  <sheetFormatPr baseColWidth="10" defaultColWidth="11.54296875" defaultRowHeight="14.5" x14ac:dyDescent="0.35"/>
  <cols>
    <col min="1" max="1" width="8.36328125" style="1" customWidth="1"/>
    <col min="2" max="2" width="11.08984375" style="1" bestFit="1" customWidth="1"/>
    <col min="3" max="3" width="11.453125" style="1" customWidth="1"/>
    <col min="4" max="4" width="4.54296875" style="1" customWidth="1"/>
    <col min="5" max="5" width="14.81640625" style="1" customWidth="1"/>
    <col min="6" max="6" width="11.81640625" style="1" bestFit="1" customWidth="1"/>
    <col min="7" max="7" width="6.7265625" style="1" customWidth="1"/>
    <col min="8" max="8" width="5.453125" style="1" customWidth="1"/>
    <col min="9" max="9" width="14.36328125" style="1" customWidth="1"/>
    <col min="10" max="10" width="17.1796875" style="1" customWidth="1"/>
    <col min="11" max="11" width="0" style="1" hidden="1" customWidth="1"/>
    <col min="12" max="12" width="16.453125" style="1" hidden="1" customWidth="1"/>
    <col min="13" max="13" width="34.453125" style="1" hidden="1" customWidth="1"/>
    <col min="14" max="14" width="14.54296875" style="1" hidden="1" customWidth="1"/>
    <col min="15" max="16" width="14.453125" style="1" hidden="1" customWidth="1"/>
    <col min="17" max="17" width="15.453125" style="1" hidden="1" customWidth="1"/>
    <col min="18" max="18" width="14.54296875" style="1" hidden="1" customWidth="1"/>
    <col min="19" max="19" width="0" style="1" hidden="1" customWidth="1"/>
    <col min="20" max="20" width="6.453125" style="1" hidden="1" customWidth="1"/>
    <col min="21" max="21" width="9.453125" style="1" hidden="1" customWidth="1"/>
    <col min="22" max="22" width="5" style="1" hidden="1" customWidth="1"/>
    <col min="23" max="23" width="5.54296875" style="1" hidden="1" customWidth="1"/>
    <col min="24" max="24" width="5" style="1" hidden="1" customWidth="1"/>
    <col min="25" max="26" width="4.81640625" style="1" hidden="1" customWidth="1"/>
    <col min="27" max="27" width="8.81640625" style="1" hidden="1" customWidth="1"/>
    <col min="28" max="28" width="4" style="1" hidden="1" customWidth="1"/>
    <col min="29" max="29" width="9.54296875" style="1" hidden="1" customWidth="1"/>
    <col min="30" max="32" width="0" style="1" hidden="1" customWidth="1"/>
    <col min="33" max="33" width="9.6328125" style="1" customWidth="1"/>
    <col min="34" max="34" width="21.453125" style="1" bestFit="1" customWidth="1"/>
    <col min="35" max="16384" width="11.54296875" style="1"/>
  </cols>
  <sheetData>
    <row r="2" spans="1:34" ht="7.5" customHeight="1" x14ac:dyDescent="0.35"/>
    <row r="3" spans="1:34" ht="20.25" customHeight="1" x14ac:dyDescent="0.5">
      <c r="B3" s="104"/>
      <c r="C3" s="104"/>
      <c r="D3" s="104"/>
      <c r="E3" s="104"/>
      <c r="F3" s="104"/>
      <c r="G3" s="104"/>
      <c r="H3" s="104"/>
      <c r="I3" s="104"/>
      <c r="J3" s="104"/>
    </row>
    <row r="4" spans="1:34" x14ac:dyDescent="0.35">
      <c r="B4" s="105" t="s">
        <v>92</v>
      </c>
      <c r="C4" s="105"/>
      <c r="D4" s="105"/>
      <c r="E4" s="105"/>
      <c r="F4" s="105"/>
      <c r="G4" s="105"/>
      <c r="H4" s="105"/>
      <c r="I4" s="105"/>
      <c r="J4" s="105"/>
    </row>
    <row r="5" spans="1:34" ht="14.5" customHeight="1" x14ac:dyDescent="0.35">
      <c r="C5" s="105"/>
      <c r="D5" s="105"/>
      <c r="E5" s="105"/>
      <c r="F5" s="105"/>
      <c r="G5" s="105"/>
      <c r="H5" s="105"/>
      <c r="I5" s="66" t="s">
        <v>333</v>
      </c>
      <c r="J5" s="9">
        <v>45686</v>
      </c>
    </row>
    <row r="6" spans="1:34" ht="14.5" customHeight="1" thickBot="1" x14ac:dyDescent="0.4">
      <c r="C6" s="106"/>
      <c r="D6" s="106"/>
      <c r="E6" s="106"/>
      <c r="F6" s="106"/>
      <c r="G6" s="106"/>
      <c r="H6" s="106"/>
    </row>
    <row r="7" spans="1:34" ht="14.5" customHeight="1" x14ac:dyDescent="0.35">
      <c r="B7" s="28" t="s">
        <v>1</v>
      </c>
      <c r="C7" s="107" t="s">
        <v>336</v>
      </c>
      <c r="D7" s="107"/>
      <c r="E7" s="107"/>
      <c r="F7" s="107"/>
      <c r="G7" s="107"/>
      <c r="H7" s="107"/>
      <c r="I7" s="107"/>
      <c r="J7" s="108"/>
      <c r="K7" s="29" t="s">
        <v>2</v>
      </c>
      <c r="L7" s="30">
        <v>35.378599999999999</v>
      </c>
      <c r="M7" s="14"/>
      <c r="N7" s="14"/>
      <c r="O7" s="14"/>
      <c r="Q7" s="27">
        <f>+Q13/L7</f>
        <v>847.49990107013855</v>
      </c>
      <c r="AH7" s="14"/>
    </row>
    <row r="8" spans="1:34" ht="14.5" customHeight="1" x14ac:dyDescent="0.35">
      <c r="B8" s="31"/>
      <c r="C8" s="109"/>
      <c r="D8" s="109"/>
      <c r="E8" s="109"/>
      <c r="F8" s="109"/>
      <c r="G8" s="109"/>
      <c r="H8" s="109"/>
      <c r="I8" s="109"/>
      <c r="J8" s="110"/>
      <c r="K8" s="32"/>
      <c r="L8" s="22" t="e">
        <f>ROUND(#REF!*L7,2)</f>
        <v>#REF!</v>
      </c>
      <c r="M8" s="14"/>
      <c r="N8" s="14"/>
      <c r="O8" s="14"/>
      <c r="AH8" s="14"/>
    </row>
    <row r="9" spans="1:34" ht="14.5" customHeight="1" thickBot="1" x14ac:dyDescent="0.4">
      <c r="B9" s="5"/>
      <c r="C9" s="109"/>
      <c r="D9" s="109"/>
      <c r="E9" s="109"/>
      <c r="F9" s="109"/>
      <c r="G9" s="109"/>
      <c r="H9" s="109"/>
      <c r="I9" s="109"/>
      <c r="J9" s="110"/>
      <c r="L9" s="14"/>
      <c r="M9" s="14" t="s">
        <v>3</v>
      </c>
      <c r="N9" s="14"/>
      <c r="O9" s="14"/>
      <c r="AH9" s="14"/>
    </row>
    <row r="10" spans="1:34" ht="14.5" customHeight="1" thickBot="1" x14ac:dyDescent="0.4">
      <c r="B10" s="23"/>
      <c r="C10" s="24"/>
      <c r="D10" s="24"/>
      <c r="E10" s="24"/>
      <c r="F10" s="24"/>
      <c r="G10" s="24"/>
      <c r="H10" s="24"/>
      <c r="I10" s="24"/>
      <c r="J10" s="25"/>
      <c r="K10" s="3"/>
      <c r="L10" s="3">
        <v>61020201</v>
      </c>
      <c r="M10" s="33" t="s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H10" s="14"/>
    </row>
    <row r="11" spans="1:34" ht="14.5" customHeight="1" thickBot="1" x14ac:dyDescent="0.4">
      <c r="L11" s="1" t="s">
        <v>5</v>
      </c>
      <c r="M11" s="14" t="s">
        <v>6</v>
      </c>
      <c r="AH11" s="14"/>
    </row>
    <row r="12" spans="1:34" ht="14.5" customHeight="1" thickBot="1" x14ac:dyDescent="0.4">
      <c r="B12" s="35" t="s">
        <v>7</v>
      </c>
      <c r="C12" s="102" t="s">
        <v>8</v>
      </c>
      <c r="D12" s="102"/>
      <c r="E12" s="102"/>
      <c r="F12" s="102"/>
      <c r="G12" s="102"/>
      <c r="H12" s="103"/>
      <c r="I12" s="35" t="s">
        <v>9</v>
      </c>
      <c r="J12" s="35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  <c r="Q12" s="1" t="s">
        <v>17</v>
      </c>
      <c r="R12" s="1" t="s">
        <v>18</v>
      </c>
      <c r="S12" s="1" t="s">
        <v>19</v>
      </c>
      <c r="T12" s="1" t="s">
        <v>20</v>
      </c>
      <c r="U12" s="1" t="s">
        <v>21</v>
      </c>
      <c r="V12" s="1" t="s">
        <v>22</v>
      </c>
      <c r="W12" s="1" t="s">
        <v>23</v>
      </c>
      <c r="X12" s="1" t="s">
        <v>24</v>
      </c>
      <c r="Y12" s="1" t="s">
        <v>25</v>
      </c>
      <c r="Z12" s="1" t="s">
        <v>26</v>
      </c>
      <c r="AH12" s="14"/>
    </row>
    <row r="13" spans="1:34" ht="14.5" customHeight="1" x14ac:dyDescent="0.35">
      <c r="A13" s="38"/>
      <c r="B13" s="42" t="s">
        <v>334</v>
      </c>
      <c r="C13" s="69" t="s">
        <v>335</v>
      </c>
      <c r="D13" s="38"/>
      <c r="E13" s="38"/>
      <c r="F13" s="38"/>
      <c r="G13" s="38"/>
      <c r="H13" s="39"/>
      <c r="I13" s="40"/>
      <c r="J13" s="40">
        <v>217.91</v>
      </c>
      <c r="K13" s="1">
        <v>11010201</v>
      </c>
      <c r="L13" s="1" t="s">
        <v>27</v>
      </c>
      <c r="M13" s="1">
        <v>11010201</v>
      </c>
      <c r="N13" s="14"/>
      <c r="O13" s="1" t="s">
        <v>28</v>
      </c>
      <c r="Q13" s="22">
        <v>29983.360000000001</v>
      </c>
      <c r="S13" s="1">
        <v>9328</v>
      </c>
      <c r="T13" s="1" t="s">
        <v>29</v>
      </c>
      <c r="U13" s="1">
        <v>344</v>
      </c>
      <c r="Y13" s="1" t="s">
        <v>30</v>
      </c>
      <c r="AG13" s="5"/>
      <c r="AH13" s="14"/>
    </row>
    <row r="14" spans="1:34" ht="14.5" customHeight="1" x14ac:dyDescent="0.35">
      <c r="A14" s="38"/>
      <c r="B14" s="72" t="s">
        <v>337</v>
      </c>
      <c r="C14" s="67" t="s">
        <v>338</v>
      </c>
      <c r="F14" s="38"/>
      <c r="G14" s="38"/>
      <c r="H14" s="39"/>
      <c r="I14" s="40">
        <v>217.91</v>
      </c>
      <c r="J14" s="40"/>
      <c r="K14" s="1">
        <v>21010504</v>
      </c>
      <c r="L14" s="44" t="s">
        <v>31</v>
      </c>
      <c r="M14" s="1">
        <v>21010504</v>
      </c>
      <c r="N14" s="14"/>
      <c r="O14" s="1" t="s">
        <v>32</v>
      </c>
      <c r="P14" s="22"/>
      <c r="Q14" s="22">
        <v>530.67999999999995</v>
      </c>
      <c r="S14" s="1">
        <v>9328</v>
      </c>
      <c r="T14" s="1" t="s">
        <v>29</v>
      </c>
      <c r="Y14" s="1" t="s">
        <v>30</v>
      </c>
      <c r="AG14" s="5"/>
      <c r="AH14" s="14"/>
    </row>
    <row r="15" spans="1:34" ht="14.5" customHeight="1" x14ac:dyDescent="0.35">
      <c r="B15" s="72"/>
      <c r="C15" s="67"/>
      <c r="H15" s="39"/>
      <c r="I15" s="40"/>
      <c r="J15" s="40"/>
      <c r="K15" s="1">
        <v>61020110</v>
      </c>
      <c r="L15" s="44" t="s">
        <v>33</v>
      </c>
      <c r="M15" s="1">
        <v>61020110</v>
      </c>
      <c r="N15" s="14" t="s">
        <v>34</v>
      </c>
      <c r="P15" s="22">
        <v>26533.95</v>
      </c>
      <c r="Q15" s="22"/>
      <c r="S15" s="1">
        <v>9328</v>
      </c>
      <c r="T15" s="1" t="s">
        <v>29</v>
      </c>
      <c r="U15" s="14">
        <v>9328</v>
      </c>
      <c r="Y15" s="1" t="s">
        <v>30</v>
      </c>
      <c r="AG15" s="46"/>
    </row>
    <row r="16" spans="1:34" ht="14.5" customHeight="1" x14ac:dyDescent="0.35">
      <c r="B16" s="72"/>
      <c r="C16" s="67"/>
      <c r="D16" s="48"/>
      <c r="E16" s="48"/>
      <c r="F16" s="48"/>
      <c r="G16" s="48"/>
      <c r="H16" s="39"/>
      <c r="I16" s="40"/>
      <c r="J16" s="40"/>
      <c r="K16" s="1">
        <v>11030401</v>
      </c>
      <c r="L16" s="44" t="s">
        <v>35</v>
      </c>
      <c r="M16" s="1">
        <v>11030401</v>
      </c>
      <c r="N16" s="14" t="s">
        <v>36</v>
      </c>
      <c r="P16" s="22">
        <v>3980.09</v>
      </c>
      <c r="Q16" s="22"/>
      <c r="S16" s="1">
        <v>9328</v>
      </c>
      <c r="T16" s="1" t="s">
        <v>29</v>
      </c>
      <c r="U16" s="14">
        <v>9328</v>
      </c>
      <c r="Y16" s="1" t="s">
        <v>30</v>
      </c>
      <c r="AG16" s="38"/>
      <c r="AH16" s="50"/>
    </row>
    <row r="17" spans="1:33" ht="14.5" customHeight="1" x14ac:dyDescent="0.35">
      <c r="B17" s="42"/>
      <c r="C17" s="69"/>
      <c r="D17" s="48"/>
      <c r="E17" s="48"/>
      <c r="F17" s="48"/>
      <c r="G17" s="48"/>
      <c r="I17" s="40"/>
      <c r="J17" s="40"/>
      <c r="L17" s="44"/>
      <c r="R17" s="14"/>
      <c r="S17" s="14"/>
      <c r="AG17" s="38"/>
    </row>
    <row r="18" spans="1:33" ht="14.5" customHeight="1" x14ac:dyDescent="0.35">
      <c r="B18" s="52"/>
      <c r="C18"/>
      <c r="H18" s="6"/>
      <c r="I18" s="40"/>
      <c r="J18" s="40"/>
      <c r="L18" s="44"/>
    </row>
    <row r="19" spans="1:33" ht="14.5" customHeight="1" x14ac:dyDescent="0.35">
      <c r="A19" s="38"/>
      <c r="B19" s="72"/>
      <c r="C19" s="67"/>
      <c r="H19" s="6"/>
      <c r="I19" s="40"/>
      <c r="J19" s="40"/>
      <c r="L19" s="29"/>
      <c r="M19" s="30"/>
      <c r="N19" s="55"/>
    </row>
    <row r="20" spans="1:33" ht="14.5" customHeight="1" x14ac:dyDescent="0.35">
      <c r="B20" s="53"/>
      <c r="C20" s="38"/>
      <c r="H20" s="6"/>
      <c r="I20" s="40"/>
      <c r="J20" s="40"/>
      <c r="O20" s="14"/>
      <c r="Q20" s="22"/>
      <c r="R20" s="22"/>
      <c r="S20" s="22"/>
      <c r="Z20" s="1" t="s">
        <v>37</v>
      </c>
      <c r="AA20" s="1" t="s">
        <v>38</v>
      </c>
      <c r="AB20" s="1" t="s">
        <v>25</v>
      </c>
      <c r="AC20" s="1" t="s">
        <v>26</v>
      </c>
    </row>
    <row r="21" spans="1:33" ht="14.5" customHeight="1" x14ac:dyDescent="0.35">
      <c r="B21" s="53"/>
      <c r="C21" s="38"/>
      <c r="D21" s="38"/>
      <c r="H21" s="6"/>
      <c r="I21" s="40"/>
      <c r="J21" s="40"/>
      <c r="M21" s="44"/>
      <c r="O21" s="14"/>
      <c r="P21" s="14"/>
      <c r="Q21" s="14"/>
      <c r="R21" s="14"/>
      <c r="S21" s="22"/>
      <c r="T21" s="22"/>
      <c r="U21" s="22"/>
      <c r="Z21" s="1" t="s">
        <v>30</v>
      </c>
      <c r="AB21" s="1" t="s">
        <v>30</v>
      </c>
      <c r="AC21" s="1">
        <f>+M19</f>
        <v>0</v>
      </c>
    </row>
    <row r="22" spans="1:33" ht="14.5" customHeight="1" x14ac:dyDescent="0.35">
      <c r="B22" s="53"/>
      <c r="C22" s="70"/>
      <c r="D22" s="38"/>
      <c r="H22" s="6"/>
      <c r="I22" s="40"/>
      <c r="J22" s="40"/>
      <c r="M22" s="44"/>
      <c r="O22" s="14"/>
      <c r="P22" s="14"/>
      <c r="Q22" s="14"/>
      <c r="R22" s="14"/>
      <c r="S22" s="22"/>
      <c r="T22" s="22"/>
      <c r="U22" s="22"/>
      <c r="Z22" s="1" t="s">
        <v>30</v>
      </c>
      <c r="AB22" s="1" t="s">
        <v>30</v>
      </c>
      <c r="AC22" s="1">
        <f>+AC21</f>
        <v>0</v>
      </c>
    </row>
    <row r="23" spans="1:33" ht="14.5" customHeight="1" x14ac:dyDescent="0.35">
      <c r="B23" s="53"/>
      <c r="C23" s="70"/>
      <c r="D23" s="38"/>
      <c r="H23" s="6"/>
      <c r="I23" s="40"/>
      <c r="J23" s="40"/>
      <c r="M23" s="44"/>
      <c r="O23" s="14"/>
      <c r="P23" s="14"/>
      <c r="Q23" s="14"/>
      <c r="R23" s="14"/>
      <c r="S23" s="22"/>
      <c r="T23" s="22"/>
      <c r="U23" s="22"/>
      <c r="Z23" s="1" t="s">
        <v>30</v>
      </c>
      <c r="AB23" s="1" t="s">
        <v>30</v>
      </c>
      <c r="AC23" s="1">
        <f>+AC22</f>
        <v>0</v>
      </c>
    </row>
    <row r="24" spans="1:33" ht="14.5" customHeight="1" x14ac:dyDescent="0.35">
      <c r="B24" s="53"/>
      <c r="C24" s="48"/>
      <c r="H24" s="6"/>
      <c r="I24" s="40"/>
      <c r="J24" s="40"/>
      <c r="M24" s="44"/>
      <c r="O24" s="14"/>
      <c r="P24" s="14"/>
      <c r="Q24" s="14"/>
      <c r="R24" s="14"/>
      <c r="S24" s="22"/>
      <c r="T24" s="22"/>
      <c r="U24" s="22"/>
      <c r="Z24" s="1" t="s">
        <v>30</v>
      </c>
      <c r="AB24" s="1" t="s">
        <v>30</v>
      </c>
      <c r="AC24" s="1">
        <f>+AC23</f>
        <v>0</v>
      </c>
    </row>
    <row r="25" spans="1:33" ht="14.5" customHeight="1" thickBot="1" x14ac:dyDescent="0.4">
      <c r="B25" s="56"/>
      <c r="C25" s="24"/>
      <c r="D25" s="24"/>
      <c r="E25" s="24"/>
      <c r="F25" s="24"/>
      <c r="G25" s="24"/>
      <c r="H25" s="25"/>
      <c r="I25" s="23"/>
      <c r="J25" s="56"/>
      <c r="M25" s="44"/>
      <c r="O25" s="14"/>
      <c r="P25" s="14"/>
      <c r="Q25" s="14"/>
      <c r="R25" s="14"/>
      <c r="S25" s="22"/>
      <c r="T25" s="22"/>
      <c r="U25" s="22"/>
      <c r="Z25" s="1" t="s">
        <v>30</v>
      </c>
      <c r="AB25" s="1" t="s">
        <v>30</v>
      </c>
      <c r="AC25" s="1">
        <f>+AC24</f>
        <v>0</v>
      </c>
    </row>
    <row r="26" spans="1:33" ht="14.5" customHeight="1" thickBot="1" x14ac:dyDescent="0.4">
      <c r="B26" s="97" t="s">
        <v>39</v>
      </c>
      <c r="C26" s="98"/>
      <c r="D26" s="98"/>
      <c r="E26" s="98"/>
      <c r="F26" s="98"/>
      <c r="G26" s="98"/>
      <c r="H26" s="99"/>
      <c r="I26" s="57">
        <f>SUM(I13:I25)</f>
        <v>217.91</v>
      </c>
      <c r="J26" s="57">
        <f>SUM(J13:J25)</f>
        <v>217.91</v>
      </c>
      <c r="K26" s="58" t="e">
        <f>+I26-#REF!</f>
        <v>#REF!</v>
      </c>
      <c r="O26" s="14"/>
      <c r="P26" s="14"/>
      <c r="Q26" s="14"/>
      <c r="R26" s="14"/>
      <c r="S26" s="22"/>
      <c r="T26" s="22"/>
      <c r="U26" s="22"/>
      <c r="Z26" s="1" t="s">
        <v>30</v>
      </c>
      <c r="AB26" s="1" t="s">
        <v>30</v>
      </c>
      <c r="AC26" s="1">
        <f>+AC24</f>
        <v>0</v>
      </c>
    </row>
    <row r="27" spans="1:33" ht="14.5" customHeight="1" x14ac:dyDescent="0.35">
      <c r="J27" s="14">
        <f>+J26-I26</f>
        <v>0</v>
      </c>
      <c r="O27" s="14"/>
      <c r="P27" s="14"/>
      <c r="Q27" s="14"/>
      <c r="R27" s="14"/>
      <c r="S27" s="22"/>
      <c r="T27" s="22"/>
      <c r="U27" s="22"/>
      <c r="Z27" s="1" t="s">
        <v>30</v>
      </c>
      <c r="AB27" s="1" t="s">
        <v>30</v>
      </c>
      <c r="AC27" s="1">
        <f>+AC26</f>
        <v>0</v>
      </c>
    </row>
    <row r="28" spans="1:33" ht="14.5" customHeight="1" x14ac:dyDescent="0.35">
      <c r="M28" s="1" t="s">
        <v>40</v>
      </c>
      <c r="N28" s="50">
        <v>0.15</v>
      </c>
      <c r="P28" s="59" t="e">
        <f>+#REF!*0.15</f>
        <v>#REF!</v>
      </c>
      <c r="Q28" s="14"/>
    </row>
    <row r="29" spans="1:33" ht="14.5" customHeight="1" x14ac:dyDescent="0.35">
      <c r="N29" s="50"/>
      <c r="P29" s="59"/>
    </row>
    <row r="30" spans="1:33" ht="14.5" customHeight="1" x14ac:dyDescent="0.35">
      <c r="B30" s="95" t="s">
        <v>41</v>
      </c>
      <c r="C30" s="95"/>
      <c r="G30" s="82"/>
      <c r="H30" s="81"/>
      <c r="I30" s="95" t="s">
        <v>42</v>
      </c>
      <c r="J30" s="95"/>
      <c r="M30" s="1" t="s">
        <v>43</v>
      </c>
      <c r="P30" s="59" t="e">
        <f>+#REF!-P28</f>
        <v>#REF!</v>
      </c>
    </row>
    <row r="31" spans="1:33" ht="14.5" customHeight="1" x14ac:dyDescent="0.35">
      <c r="B31" s="100" t="s">
        <v>44</v>
      </c>
      <c r="C31" s="100"/>
      <c r="H31" s="82"/>
      <c r="I31" s="100" t="s">
        <v>45</v>
      </c>
      <c r="J31" s="100"/>
      <c r="M31" s="1">
        <v>12040102</v>
      </c>
      <c r="N31" s="1" t="s">
        <v>46</v>
      </c>
    </row>
    <row r="32" spans="1:33" ht="14.5" customHeight="1" x14ac:dyDescent="0.35">
      <c r="B32" s="100" t="s">
        <v>47</v>
      </c>
      <c r="C32" s="100"/>
      <c r="H32" s="81"/>
      <c r="I32" s="100" t="s">
        <v>48</v>
      </c>
      <c r="J32" s="100"/>
      <c r="M32" s="1" t="s">
        <v>49</v>
      </c>
    </row>
    <row r="34" spans="5:29" ht="14.5" customHeight="1" x14ac:dyDescent="0.35">
      <c r="L34" s="1" t="s">
        <v>11</v>
      </c>
      <c r="M34" s="1" t="s">
        <v>12</v>
      </c>
      <c r="N34" s="1" t="s">
        <v>13</v>
      </c>
      <c r="O34" s="14" t="s">
        <v>16</v>
      </c>
      <c r="P34" s="1" t="s">
        <v>17</v>
      </c>
      <c r="Q34" s="22" t="s">
        <v>53</v>
      </c>
      <c r="R34" s="22" t="s">
        <v>54</v>
      </c>
      <c r="S34" s="22" t="s">
        <v>19</v>
      </c>
      <c r="T34" s="1" t="s">
        <v>20</v>
      </c>
      <c r="U34" s="1" t="s">
        <v>21</v>
      </c>
      <c r="V34" s="1" t="s">
        <v>18</v>
      </c>
      <c r="W34" s="1" t="s">
        <v>22</v>
      </c>
      <c r="X34" s="1" t="s">
        <v>23</v>
      </c>
      <c r="Y34" s="1" t="s">
        <v>55</v>
      </c>
      <c r="Z34" s="1" t="s">
        <v>37</v>
      </c>
      <c r="AA34" s="1" t="s">
        <v>38</v>
      </c>
      <c r="AB34" s="1" t="s">
        <v>25</v>
      </c>
      <c r="AC34" s="1" t="s">
        <v>26</v>
      </c>
    </row>
    <row r="35" spans="5:29" ht="14.5" customHeight="1" x14ac:dyDescent="0.35">
      <c r="H35" s="38"/>
      <c r="I35" s="63"/>
      <c r="L35" s="1">
        <v>61020106</v>
      </c>
      <c r="M35" s="44" t="s">
        <v>56</v>
      </c>
      <c r="N35" s="1">
        <v>61020106</v>
      </c>
      <c r="O35" s="14">
        <v>20000</v>
      </c>
      <c r="P35" s="14"/>
      <c r="Q35" s="14" t="e">
        <f>O35/M19</f>
        <v>#DIV/0!</v>
      </c>
      <c r="R35" s="14"/>
      <c r="S35" s="22" t="s">
        <v>57</v>
      </c>
      <c r="T35" s="22" t="str">
        <f>+S35</f>
        <v>COMPLEMENTO CK14047 LEYSER RUANO VIATICO MAY-19</v>
      </c>
      <c r="U35" s="22" t="str">
        <f>+T35</f>
        <v>COMPLEMENTO CK14047 LEYSER RUANO VIATICO MAY-19</v>
      </c>
      <c r="V35" s="1" t="s">
        <v>58</v>
      </c>
      <c r="W35" s="1" t="s">
        <v>59</v>
      </c>
      <c r="X35" s="1" t="s">
        <v>60</v>
      </c>
      <c r="Y35" s="1" t="s">
        <v>61</v>
      </c>
      <c r="Z35" s="1" t="s">
        <v>30</v>
      </c>
      <c r="AB35" s="1" t="s">
        <v>30</v>
      </c>
      <c r="AC35" s="1" t="e">
        <f>+#REF!</f>
        <v>#REF!</v>
      </c>
    </row>
    <row r="36" spans="5:29" ht="14.5" customHeight="1" x14ac:dyDescent="0.35">
      <c r="L36" s="1">
        <v>21010504</v>
      </c>
      <c r="M36" s="44" t="s">
        <v>31</v>
      </c>
      <c r="N36" s="1">
        <v>21010504</v>
      </c>
      <c r="O36" s="14"/>
      <c r="P36" s="14">
        <v>4000</v>
      </c>
      <c r="Q36" s="14"/>
      <c r="R36" s="14" t="e">
        <f>+P36/M19</f>
        <v>#DIV/0!</v>
      </c>
      <c r="S36" s="22" t="str">
        <f t="shared" ref="S36:U38" si="0">+S35</f>
        <v>COMPLEMENTO CK14047 LEYSER RUANO VIATICO MAY-19</v>
      </c>
      <c r="T36" s="22" t="str">
        <f t="shared" si="0"/>
        <v>COMPLEMENTO CK14047 LEYSER RUANO VIATICO MAY-19</v>
      </c>
      <c r="U36" s="22" t="str">
        <f t="shared" si="0"/>
        <v>COMPLEMENTO CK14047 LEYSER RUANO VIATICO MAY-19</v>
      </c>
      <c r="V36" s="1" t="s">
        <v>58</v>
      </c>
      <c r="Z36" s="1" t="s">
        <v>30</v>
      </c>
      <c r="AB36" s="1" t="s">
        <v>30</v>
      </c>
      <c r="AC36" s="1" t="e">
        <f>+AC35</f>
        <v>#REF!</v>
      </c>
    </row>
    <row r="37" spans="5:29" ht="14.5" customHeight="1" x14ac:dyDescent="0.35">
      <c r="E37" s="38"/>
      <c r="L37" s="1">
        <v>11030503</v>
      </c>
      <c r="M37" s="44" t="s">
        <v>62</v>
      </c>
      <c r="N37" s="1">
        <v>11030503</v>
      </c>
      <c r="O37" s="14"/>
      <c r="P37" s="14" t="e">
        <f>ROUND(R37*$L$7,2)</f>
        <v>#DIV/0!</v>
      </c>
      <c r="Q37" s="14"/>
      <c r="R37" s="14" t="e">
        <f>+Q35-R36</f>
        <v>#DIV/0!</v>
      </c>
      <c r="S37" s="22" t="str">
        <f t="shared" si="0"/>
        <v>COMPLEMENTO CK14047 LEYSER RUANO VIATICO MAY-19</v>
      </c>
      <c r="T37" s="22" t="str">
        <f t="shared" si="0"/>
        <v>COMPLEMENTO CK14047 LEYSER RUANO VIATICO MAY-19</v>
      </c>
      <c r="U37" s="22" t="str">
        <f t="shared" si="0"/>
        <v>COMPLEMENTO CK14047 LEYSER RUANO VIATICO MAY-19</v>
      </c>
      <c r="V37" s="1" t="s">
        <v>58</v>
      </c>
      <c r="Z37" s="1" t="s">
        <v>30</v>
      </c>
      <c r="AB37" s="1" t="s">
        <v>30</v>
      </c>
      <c r="AC37" s="1" t="e">
        <f>+#REF!</f>
        <v>#REF!</v>
      </c>
    </row>
    <row r="38" spans="5:29" ht="14.5" customHeight="1" x14ac:dyDescent="0.35">
      <c r="L38" s="1">
        <v>11030503</v>
      </c>
      <c r="M38" s="44" t="s">
        <v>62</v>
      </c>
      <c r="N38" s="1">
        <v>11030503</v>
      </c>
      <c r="O38" s="14">
        <v>1400</v>
      </c>
      <c r="P38" s="14"/>
      <c r="Q38" s="14" t="e">
        <f>+R39</f>
        <v>#DIV/0!</v>
      </c>
      <c r="R38" s="14"/>
      <c r="S38" s="22" t="str">
        <f t="shared" si="0"/>
        <v>COMPLEMENTO CK14047 LEYSER RUANO VIATICO MAY-19</v>
      </c>
      <c r="T38" s="22" t="str">
        <f t="shared" si="0"/>
        <v>COMPLEMENTO CK14047 LEYSER RUANO VIATICO MAY-19</v>
      </c>
      <c r="U38" s="22" t="str">
        <f t="shared" si="0"/>
        <v>COMPLEMENTO CK14047 LEYSER RUANO VIATICO MAY-19</v>
      </c>
      <c r="V38" s="1" t="s">
        <v>58</v>
      </c>
      <c r="Z38" s="1" t="s">
        <v>30</v>
      </c>
      <c r="AB38" s="1" t="s">
        <v>30</v>
      </c>
      <c r="AC38" s="1" t="e">
        <f>+#REF!</f>
        <v>#REF!</v>
      </c>
    </row>
    <row r="39" spans="5:29" ht="14.5" customHeight="1" x14ac:dyDescent="0.35">
      <c r="L39" s="1">
        <v>21010510</v>
      </c>
      <c r="M39" s="1" t="s">
        <v>63</v>
      </c>
      <c r="N39" s="1">
        <v>21010510</v>
      </c>
      <c r="O39" s="14"/>
      <c r="P39" s="14">
        <f>ROUND(O35*7%,2)</f>
        <v>1400</v>
      </c>
      <c r="Q39" s="14"/>
      <c r="R39" s="14" t="e">
        <f>(ROUND(Q35*7%,2))</f>
        <v>#DIV/0!</v>
      </c>
      <c r="S39" s="22">
        <f t="shared" ref="S39:U44" si="1">+$S$21</f>
        <v>0</v>
      </c>
      <c r="T39" s="22">
        <f t="shared" si="1"/>
        <v>0</v>
      </c>
      <c r="U39" s="22">
        <f t="shared" si="1"/>
        <v>0</v>
      </c>
      <c r="V39" s="1" t="s">
        <v>58</v>
      </c>
      <c r="Z39" s="1" t="s">
        <v>30</v>
      </c>
      <c r="AB39" s="1" t="s">
        <v>30</v>
      </c>
      <c r="AC39" s="1" t="e">
        <f>+AC37</f>
        <v>#REF!</v>
      </c>
    </row>
    <row r="40" spans="5:29" ht="14.5" customHeight="1" x14ac:dyDescent="0.35">
      <c r="L40" s="1">
        <v>61010205</v>
      </c>
      <c r="M40" s="1" t="s">
        <v>64</v>
      </c>
      <c r="N40" s="1">
        <v>61010205</v>
      </c>
      <c r="O40" s="14">
        <f>ROUND(O35*21.5%,2)</f>
        <v>4300</v>
      </c>
      <c r="P40" s="14"/>
      <c r="Q40" s="14"/>
      <c r="R40" s="14"/>
      <c r="S40" s="22">
        <f t="shared" si="1"/>
        <v>0</v>
      </c>
      <c r="T40" s="22">
        <f t="shared" si="1"/>
        <v>0</v>
      </c>
      <c r="U40" s="22">
        <f t="shared" si="1"/>
        <v>0</v>
      </c>
      <c r="V40" s="1" t="s">
        <v>58</v>
      </c>
      <c r="W40" s="1" t="s">
        <v>59</v>
      </c>
      <c r="X40" s="1" t="s">
        <v>60</v>
      </c>
      <c r="Y40" s="1" t="s">
        <v>61</v>
      </c>
      <c r="Z40" s="1" t="s">
        <v>30</v>
      </c>
      <c r="AB40" s="1" t="s">
        <v>30</v>
      </c>
      <c r="AC40" s="1" t="e">
        <f>+AC39</f>
        <v>#REF!</v>
      </c>
    </row>
    <row r="41" spans="5:29" ht="14.5" customHeight="1" x14ac:dyDescent="0.35">
      <c r="L41" s="1">
        <v>61010206</v>
      </c>
      <c r="M41" s="1" t="s">
        <v>65</v>
      </c>
      <c r="N41" s="1">
        <v>61010206</v>
      </c>
      <c r="O41" s="14">
        <f>ROUND(O35*2%,2)</f>
        <v>400</v>
      </c>
      <c r="P41" s="14"/>
      <c r="Q41" s="14"/>
      <c r="R41" s="14"/>
      <c r="S41" s="22">
        <f t="shared" si="1"/>
        <v>0</v>
      </c>
      <c r="T41" s="22">
        <f t="shared" si="1"/>
        <v>0</v>
      </c>
      <c r="U41" s="22">
        <f t="shared" si="1"/>
        <v>0</v>
      </c>
      <c r="V41" s="1" t="s">
        <v>58</v>
      </c>
      <c r="W41" s="1" t="s">
        <v>59</v>
      </c>
      <c r="X41" s="1" t="s">
        <v>60</v>
      </c>
      <c r="Y41" s="1" t="s">
        <v>61</v>
      </c>
      <c r="Z41" s="1" t="s">
        <v>30</v>
      </c>
      <c r="AB41" s="1" t="s">
        <v>30</v>
      </c>
      <c r="AC41" s="1" t="e">
        <f>+AC40</f>
        <v>#REF!</v>
      </c>
    </row>
    <row r="42" spans="5:29" ht="14.5" customHeight="1" x14ac:dyDescent="0.35">
      <c r="L42" s="1">
        <v>21010509</v>
      </c>
      <c r="M42" s="1" t="s">
        <v>66</v>
      </c>
      <c r="N42" s="1">
        <v>21010509</v>
      </c>
      <c r="O42" s="14"/>
      <c r="P42" s="14">
        <f>+O40</f>
        <v>4300</v>
      </c>
      <c r="Q42" s="14"/>
      <c r="R42" s="14"/>
      <c r="S42" s="22">
        <f t="shared" si="1"/>
        <v>0</v>
      </c>
      <c r="T42" s="22">
        <f t="shared" si="1"/>
        <v>0</v>
      </c>
      <c r="U42" s="22">
        <f t="shared" si="1"/>
        <v>0</v>
      </c>
      <c r="V42" s="1" t="s">
        <v>58</v>
      </c>
      <c r="Z42" s="1" t="s">
        <v>30</v>
      </c>
      <c r="AB42" s="1" t="s">
        <v>30</v>
      </c>
      <c r="AC42" s="1" t="e">
        <f>+AC41</f>
        <v>#REF!</v>
      </c>
    </row>
    <row r="43" spans="5:29" ht="14.5" customHeight="1" x14ac:dyDescent="0.35">
      <c r="L43" s="1">
        <v>21010511</v>
      </c>
      <c r="M43" s="1" t="s">
        <v>67</v>
      </c>
      <c r="N43" s="1">
        <v>21010511</v>
      </c>
      <c r="O43" s="14"/>
      <c r="P43" s="14">
        <f>+O41</f>
        <v>400</v>
      </c>
      <c r="Q43" s="14"/>
      <c r="R43" s="14"/>
      <c r="S43" s="22">
        <f t="shared" si="1"/>
        <v>0</v>
      </c>
      <c r="T43" s="22">
        <f t="shared" si="1"/>
        <v>0</v>
      </c>
      <c r="U43" s="22">
        <f t="shared" si="1"/>
        <v>0</v>
      </c>
      <c r="V43" s="1" t="s">
        <v>58</v>
      </c>
      <c r="Z43" s="1" t="s">
        <v>30</v>
      </c>
      <c r="AB43" s="1" t="s">
        <v>30</v>
      </c>
      <c r="AC43" s="1" t="e">
        <f>+AC42</f>
        <v>#REF!</v>
      </c>
    </row>
    <row r="44" spans="5:29" ht="14.5" customHeight="1" x14ac:dyDescent="0.35">
      <c r="L44" s="1">
        <v>81010102</v>
      </c>
      <c r="M44" s="1" t="s">
        <v>68</v>
      </c>
      <c r="N44" s="1">
        <v>81010102</v>
      </c>
      <c r="O44" s="14"/>
      <c r="P44" s="14" t="e">
        <f>(SUM(O35:O43)-SUM(P35:P43))</f>
        <v>#DIV/0!</v>
      </c>
      <c r="Q44" s="14"/>
      <c r="R44" s="14"/>
      <c r="S44" s="22">
        <f t="shared" si="1"/>
        <v>0</v>
      </c>
      <c r="T44" s="22">
        <f t="shared" si="1"/>
        <v>0</v>
      </c>
      <c r="U44" s="22">
        <f t="shared" si="1"/>
        <v>0</v>
      </c>
      <c r="V44" s="1" t="s">
        <v>58</v>
      </c>
      <c r="Z44" s="1" t="s">
        <v>30</v>
      </c>
      <c r="AB44" s="1" t="s">
        <v>30</v>
      </c>
      <c r="AC44" s="1" t="e">
        <f>+AC43</f>
        <v>#REF!</v>
      </c>
    </row>
    <row r="45" spans="5:29" ht="14.5" customHeight="1" x14ac:dyDescent="0.35">
      <c r="N45" s="14" t="e">
        <f>+O45-P45</f>
        <v>#DIV/0!</v>
      </c>
      <c r="O45" s="14">
        <f>SUM(O35:O44)</f>
        <v>26100</v>
      </c>
      <c r="P45" s="14" t="e">
        <f>SUM(P35:P44)</f>
        <v>#DIV/0!</v>
      </c>
      <c r="Q45" s="14" t="e">
        <f>SUM(Q35:Q44)</f>
        <v>#DIV/0!</v>
      </c>
      <c r="R45" s="14" t="e">
        <f>SUM(R35:R44)</f>
        <v>#DIV/0!</v>
      </c>
      <c r="S45" s="14" t="e">
        <f>+Q45-R45</f>
        <v>#DIV/0!</v>
      </c>
      <c r="T45" s="14"/>
    </row>
  </sheetData>
  <mergeCells count="13">
    <mergeCell ref="B32:C32"/>
    <mergeCell ref="I32:J32"/>
    <mergeCell ref="B3:J3"/>
    <mergeCell ref="B4:J4"/>
    <mergeCell ref="C5:H5"/>
    <mergeCell ref="C6:H6"/>
    <mergeCell ref="C7:J9"/>
    <mergeCell ref="C12:H12"/>
    <mergeCell ref="B26:H26"/>
    <mergeCell ref="B30:C30"/>
    <mergeCell ref="I30:J30"/>
    <mergeCell ref="B31:C31"/>
    <mergeCell ref="I31:J31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scale="85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J160"/>
  <sheetViews>
    <sheetView workbookViewId="0">
      <pane ySplit="1" topLeftCell="A71" activePane="bottomLeft" state="frozen"/>
      <selection pane="bottomLeft" sqref="A1:XFD1048576"/>
    </sheetView>
  </sheetViews>
  <sheetFormatPr baseColWidth="10" defaultRowHeight="14.5" x14ac:dyDescent="0.35"/>
  <cols>
    <col min="1" max="1" width="11.08984375" bestFit="1" customWidth="1"/>
    <col min="2" max="2" width="12.54296875" bestFit="1" customWidth="1"/>
    <col min="3" max="3" width="68.36328125" bestFit="1" customWidth="1"/>
    <col min="4" max="4" width="11.08984375" bestFit="1" customWidth="1"/>
    <col min="5" max="5" width="33.36328125" bestFit="1" customWidth="1"/>
    <col min="6" max="7" width="12.7265625" style="89" bestFit="1" customWidth="1"/>
  </cols>
  <sheetData>
    <row r="1" spans="1:7" ht="15.5" x14ac:dyDescent="0.35">
      <c r="A1" s="83" t="s">
        <v>275</v>
      </c>
      <c r="B1" s="84" t="s">
        <v>276</v>
      </c>
      <c r="C1" s="85" t="s">
        <v>277</v>
      </c>
      <c r="D1" s="86" t="s">
        <v>278</v>
      </c>
      <c r="E1" s="85" t="s">
        <v>279</v>
      </c>
      <c r="F1" s="87" t="s">
        <v>280</v>
      </c>
      <c r="G1" s="87" t="s">
        <v>281</v>
      </c>
    </row>
    <row r="2" spans="1:7" x14ac:dyDescent="0.35">
      <c r="A2" s="88">
        <v>45667</v>
      </c>
      <c r="B2" t="s">
        <v>282</v>
      </c>
      <c r="C2" t="s">
        <v>73</v>
      </c>
      <c r="D2" t="s">
        <v>74</v>
      </c>
      <c r="E2" t="s">
        <v>75</v>
      </c>
      <c r="F2" s="89">
        <v>12300.271155</v>
      </c>
    </row>
    <row r="3" spans="1:7" x14ac:dyDescent="0.35">
      <c r="A3" s="88">
        <v>45667</v>
      </c>
      <c r="B3" t="s">
        <v>282</v>
      </c>
      <c r="C3" t="s">
        <v>73</v>
      </c>
      <c r="D3" t="s">
        <v>76</v>
      </c>
      <c r="E3" t="s">
        <v>77</v>
      </c>
      <c r="G3" s="89">
        <v>12300.271155</v>
      </c>
    </row>
    <row r="4" spans="1:7" x14ac:dyDescent="0.35">
      <c r="A4" s="88">
        <v>45677</v>
      </c>
      <c r="B4" t="s">
        <v>283</v>
      </c>
      <c r="C4" t="s">
        <v>80</v>
      </c>
      <c r="D4" t="s">
        <v>81</v>
      </c>
      <c r="E4" t="s">
        <v>82</v>
      </c>
      <c r="F4" s="89">
        <v>11371.845149999999</v>
      </c>
    </row>
    <row r="5" spans="1:7" x14ac:dyDescent="0.35">
      <c r="A5" s="88">
        <v>45677</v>
      </c>
      <c r="B5" t="s">
        <v>283</v>
      </c>
      <c r="C5" t="s">
        <v>80</v>
      </c>
      <c r="D5" t="s">
        <v>76</v>
      </c>
      <c r="E5" t="s">
        <v>77</v>
      </c>
      <c r="G5" s="89">
        <v>11371.845149999999</v>
      </c>
    </row>
    <row r="6" spans="1:7" x14ac:dyDescent="0.35">
      <c r="A6" s="88">
        <v>45679</v>
      </c>
      <c r="B6" t="s">
        <v>284</v>
      </c>
      <c r="C6" t="s">
        <v>85</v>
      </c>
      <c r="D6" t="s">
        <v>86</v>
      </c>
      <c r="E6" t="s">
        <v>87</v>
      </c>
      <c r="F6" s="89">
        <v>1464.972</v>
      </c>
    </row>
    <row r="7" spans="1:7" x14ac:dyDescent="0.35">
      <c r="A7" s="88">
        <v>45679</v>
      </c>
      <c r="B7" t="s">
        <v>284</v>
      </c>
      <c r="C7" t="s">
        <v>85</v>
      </c>
      <c r="D7" t="s">
        <v>76</v>
      </c>
      <c r="E7" t="s">
        <v>77</v>
      </c>
      <c r="G7" s="89">
        <v>1464.972</v>
      </c>
    </row>
    <row r="8" spans="1:7" x14ac:dyDescent="0.35">
      <c r="A8" s="88">
        <v>45680</v>
      </c>
      <c r="B8" t="s">
        <v>285</v>
      </c>
      <c r="C8" t="s">
        <v>89</v>
      </c>
      <c r="D8" t="s">
        <v>81</v>
      </c>
      <c r="E8" t="s">
        <v>82</v>
      </c>
      <c r="F8" s="89">
        <v>29299.439999999999</v>
      </c>
    </row>
    <row r="9" spans="1:7" x14ac:dyDescent="0.35">
      <c r="A9" s="88">
        <v>45680</v>
      </c>
      <c r="B9" t="s">
        <v>285</v>
      </c>
      <c r="C9" t="s">
        <v>89</v>
      </c>
      <c r="D9" t="s">
        <v>76</v>
      </c>
      <c r="E9" t="s">
        <v>77</v>
      </c>
      <c r="G9" s="89">
        <v>29299.439999999999</v>
      </c>
    </row>
    <row r="10" spans="1:7" x14ac:dyDescent="0.35">
      <c r="A10" s="88">
        <v>45686</v>
      </c>
      <c r="B10" t="s">
        <v>286</v>
      </c>
      <c r="C10" t="s">
        <v>90</v>
      </c>
      <c r="D10" t="s">
        <v>86</v>
      </c>
      <c r="E10" t="s">
        <v>87</v>
      </c>
      <c r="F10" s="89">
        <v>5017.5290999999997</v>
      </c>
    </row>
    <row r="11" spans="1:7" x14ac:dyDescent="0.35">
      <c r="A11" s="88">
        <v>45686</v>
      </c>
      <c r="B11" t="s">
        <v>286</v>
      </c>
      <c r="C11" t="s">
        <v>90</v>
      </c>
      <c r="D11" t="s">
        <v>76</v>
      </c>
      <c r="E11" t="s">
        <v>77</v>
      </c>
      <c r="G11" s="89">
        <v>5017.5290999999997</v>
      </c>
    </row>
    <row r="12" spans="1:7" x14ac:dyDescent="0.35">
      <c r="A12" s="88">
        <v>45659</v>
      </c>
      <c r="B12" t="s">
        <v>287</v>
      </c>
      <c r="C12" t="s">
        <v>95</v>
      </c>
      <c r="D12" t="s">
        <v>159</v>
      </c>
      <c r="E12" t="s">
        <v>160</v>
      </c>
      <c r="F12" s="89">
        <v>18312.150000000001</v>
      </c>
    </row>
    <row r="13" spans="1:7" x14ac:dyDescent="0.35">
      <c r="A13" s="88">
        <v>45659</v>
      </c>
      <c r="B13" t="s">
        <v>287</v>
      </c>
      <c r="C13" t="s">
        <v>95</v>
      </c>
      <c r="D13" t="s">
        <v>96</v>
      </c>
      <c r="E13" t="s">
        <v>97</v>
      </c>
      <c r="F13" s="89">
        <v>2746.82</v>
      </c>
    </row>
    <row r="14" spans="1:7" x14ac:dyDescent="0.35">
      <c r="A14" s="88">
        <v>45659</v>
      </c>
      <c r="B14" t="s">
        <v>287</v>
      </c>
      <c r="C14" t="s">
        <v>95</v>
      </c>
      <c r="D14" t="s">
        <v>98</v>
      </c>
      <c r="E14" t="s">
        <v>99</v>
      </c>
      <c r="G14" s="89">
        <v>366.24300000000005</v>
      </c>
    </row>
    <row r="15" spans="1:7" x14ac:dyDescent="0.35">
      <c r="A15" s="88">
        <v>45659</v>
      </c>
      <c r="B15" t="s">
        <v>287</v>
      </c>
      <c r="C15" t="s">
        <v>95</v>
      </c>
      <c r="D15" t="s">
        <v>100</v>
      </c>
      <c r="E15" t="s">
        <v>101</v>
      </c>
      <c r="G15" s="89">
        <v>20692.727000000003</v>
      </c>
    </row>
    <row r="16" spans="1:7" x14ac:dyDescent="0.35">
      <c r="A16" s="88">
        <v>45660</v>
      </c>
      <c r="B16" t="s">
        <v>288</v>
      </c>
      <c r="C16" t="s">
        <v>104</v>
      </c>
      <c r="D16" t="s">
        <v>105</v>
      </c>
      <c r="E16" t="s">
        <v>106</v>
      </c>
      <c r="F16" s="89">
        <v>0</v>
      </c>
      <c r="G16" s="89">
        <v>8401.6200000000008</v>
      </c>
    </row>
    <row r="17" spans="1:7" x14ac:dyDescent="0.35">
      <c r="A17" s="88">
        <v>45660</v>
      </c>
      <c r="B17" t="s">
        <v>288</v>
      </c>
      <c r="C17" t="s">
        <v>104</v>
      </c>
      <c r="D17" t="s">
        <v>96</v>
      </c>
      <c r="E17" t="s">
        <v>97</v>
      </c>
      <c r="G17" s="89">
        <v>2500.06</v>
      </c>
    </row>
    <row r="18" spans="1:7" x14ac:dyDescent="0.35">
      <c r="A18" s="88">
        <v>45660</v>
      </c>
      <c r="B18" t="s">
        <v>288</v>
      </c>
      <c r="C18" t="s">
        <v>104</v>
      </c>
      <c r="D18" t="s">
        <v>98</v>
      </c>
      <c r="E18" t="s">
        <v>99</v>
      </c>
      <c r="F18" s="89">
        <v>1311.23</v>
      </c>
    </row>
    <row r="19" spans="1:7" x14ac:dyDescent="0.35">
      <c r="A19" s="88">
        <v>45660</v>
      </c>
      <c r="B19" t="s">
        <v>288</v>
      </c>
      <c r="C19" t="s">
        <v>104</v>
      </c>
      <c r="D19" t="s">
        <v>107</v>
      </c>
      <c r="E19" t="s">
        <v>108</v>
      </c>
      <c r="F19" s="89">
        <v>15887.48</v>
      </c>
    </row>
    <row r="20" spans="1:7" x14ac:dyDescent="0.35">
      <c r="A20" s="88">
        <v>45660</v>
      </c>
      <c r="B20" t="s">
        <v>288</v>
      </c>
      <c r="C20" t="s">
        <v>104</v>
      </c>
      <c r="D20" t="s">
        <v>109</v>
      </c>
      <c r="E20" t="s">
        <v>110</v>
      </c>
      <c r="F20" s="89">
        <v>7658.36</v>
      </c>
    </row>
    <row r="21" spans="1:7" x14ac:dyDescent="0.35">
      <c r="A21" s="88">
        <v>45660</v>
      </c>
      <c r="B21" t="s">
        <v>288</v>
      </c>
      <c r="C21" t="s">
        <v>104</v>
      </c>
      <c r="D21" t="s">
        <v>111</v>
      </c>
      <c r="E21" t="s">
        <v>112</v>
      </c>
      <c r="F21" s="89">
        <v>87606.25</v>
      </c>
    </row>
    <row r="22" spans="1:7" x14ac:dyDescent="0.35">
      <c r="A22" s="88">
        <v>45660</v>
      </c>
      <c r="B22" t="s">
        <v>288</v>
      </c>
      <c r="C22" t="s">
        <v>104</v>
      </c>
      <c r="D22" t="s">
        <v>100</v>
      </c>
      <c r="E22" t="s">
        <v>101</v>
      </c>
      <c r="G22" s="89">
        <v>101561.64</v>
      </c>
    </row>
    <row r="23" spans="1:7" x14ac:dyDescent="0.35">
      <c r="A23" s="88">
        <v>45660</v>
      </c>
      <c r="B23" t="s">
        <v>289</v>
      </c>
      <c r="C23" t="s">
        <v>114</v>
      </c>
      <c r="D23" t="s">
        <v>115</v>
      </c>
      <c r="E23" t="s">
        <v>116</v>
      </c>
      <c r="F23" s="89">
        <v>10627.89</v>
      </c>
    </row>
    <row r="24" spans="1:7" x14ac:dyDescent="0.35">
      <c r="A24" s="88">
        <v>45660</v>
      </c>
      <c r="B24" t="s">
        <v>289</v>
      </c>
      <c r="C24" t="s">
        <v>114</v>
      </c>
      <c r="D24" t="s">
        <v>100</v>
      </c>
      <c r="E24" t="s">
        <v>101</v>
      </c>
      <c r="G24" s="89">
        <v>10627.89</v>
      </c>
    </row>
    <row r="25" spans="1:7" x14ac:dyDescent="0.35">
      <c r="A25" s="88">
        <v>45660</v>
      </c>
      <c r="B25" t="s">
        <v>290</v>
      </c>
      <c r="C25" t="s">
        <v>120</v>
      </c>
      <c r="D25" t="s">
        <v>119</v>
      </c>
      <c r="E25" t="s">
        <v>117</v>
      </c>
      <c r="F25" s="89">
        <v>35525.57</v>
      </c>
      <c r="G25" s="89">
        <v>0</v>
      </c>
    </row>
    <row r="26" spans="1:7" x14ac:dyDescent="0.35">
      <c r="A26" s="88">
        <v>45660</v>
      </c>
      <c r="B26" t="s">
        <v>290</v>
      </c>
      <c r="C26" t="s">
        <v>120</v>
      </c>
      <c r="D26" t="s">
        <v>100</v>
      </c>
      <c r="E26" t="s">
        <v>101</v>
      </c>
      <c r="G26" s="89">
        <v>36132.5</v>
      </c>
    </row>
    <row r="27" spans="1:7" x14ac:dyDescent="0.35">
      <c r="A27" s="88">
        <v>45660</v>
      </c>
      <c r="B27" t="s">
        <v>290</v>
      </c>
      <c r="C27" t="s">
        <v>120</v>
      </c>
      <c r="D27" t="s">
        <v>121</v>
      </c>
      <c r="E27" t="s">
        <v>122</v>
      </c>
      <c r="F27" s="89">
        <v>606.92999999999995</v>
      </c>
    </row>
    <row r="28" spans="1:7" x14ac:dyDescent="0.35">
      <c r="A28" s="88">
        <v>45663</v>
      </c>
      <c r="B28" t="s">
        <v>291</v>
      </c>
      <c r="C28" t="s">
        <v>123</v>
      </c>
      <c r="D28" t="s">
        <v>126</v>
      </c>
      <c r="E28" t="s">
        <v>127</v>
      </c>
      <c r="F28" s="89">
        <v>3858</v>
      </c>
    </row>
    <row r="29" spans="1:7" x14ac:dyDescent="0.35">
      <c r="A29" s="88">
        <v>45663</v>
      </c>
      <c r="B29" t="s">
        <v>291</v>
      </c>
      <c r="C29" t="s">
        <v>123</v>
      </c>
      <c r="D29" t="s">
        <v>128</v>
      </c>
      <c r="E29" t="s">
        <v>129</v>
      </c>
      <c r="F29" s="89">
        <v>192</v>
      </c>
    </row>
    <row r="30" spans="1:7" x14ac:dyDescent="0.35">
      <c r="A30" s="88">
        <v>45663</v>
      </c>
      <c r="B30" t="s">
        <v>291</v>
      </c>
      <c r="C30" t="s">
        <v>123</v>
      </c>
      <c r="D30" t="s">
        <v>130</v>
      </c>
      <c r="E30" t="s">
        <v>131</v>
      </c>
      <c r="F30" s="89">
        <v>1050</v>
      </c>
    </row>
    <row r="31" spans="1:7" x14ac:dyDescent="0.35">
      <c r="A31" s="88">
        <v>45663</v>
      </c>
      <c r="B31" t="s">
        <v>291</v>
      </c>
      <c r="C31" t="s">
        <v>123</v>
      </c>
      <c r="D31" t="s">
        <v>132</v>
      </c>
      <c r="E31" t="s">
        <v>133</v>
      </c>
      <c r="F31" s="89">
        <v>1331.64</v>
      </c>
    </row>
    <row r="32" spans="1:7" x14ac:dyDescent="0.35">
      <c r="A32" s="88">
        <v>45663</v>
      </c>
      <c r="B32" t="s">
        <v>291</v>
      </c>
      <c r="C32" t="s">
        <v>123</v>
      </c>
      <c r="D32" t="s">
        <v>134</v>
      </c>
      <c r="E32" t="s">
        <v>135</v>
      </c>
      <c r="F32" s="89">
        <v>460</v>
      </c>
    </row>
    <row r="33" spans="1:10" x14ac:dyDescent="0.35">
      <c r="A33" s="88">
        <v>45663</v>
      </c>
      <c r="B33" t="s">
        <v>291</v>
      </c>
      <c r="C33" t="s">
        <v>123</v>
      </c>
      <c r="D33" t="s">
        <v>136</v>
      </c>
      <c r="E33" t="s">
        <v>137</v>
      </c>
      <c r="F33" s="89">
        <v>150</v>
      </c>
      <c r="J33" s="89"/>
    </row>
    <row r="34" spans="1:10" x14ac:dyDescent="0.35">
      <c r="A34" s="88">
        <v>45663</v>
      </c>
      <c r="B34" t="s">
        <v>291</v>
      </c>
      <c r="C34" t="s">
        <v>123</v>
      </c>
      <c r="D34" t="s">
        <v>138</v>
      </c>
      <c r="E34" t="s">
        <v>139</v>
      </c>
      <c r="F34" s="89">
        <v>1200</v>
      </c>
      <c r="J34" s="89"/>
    </row>
    <row r="35" spans="1:10" x14ac:dyDescent="0.35">
      <c r="A35" s="88">
        <v>45663</v>
      </c>
      <c r="B35" t="s">
        <v>291</v>
      </c>
      <c r="C35" t="s">
        <v>123</v>
      </c>
      <c r="D35" t="s">
        <v>96</v>
      </c>
      <c r="E35" t="s">
        <v>97</v>
      </c>
      <c r="F35" s="89">
        <v>83.12</v>
      </c>
      <c r="J35" s="89"/>
    </row>
    <row r="36" spans="1:10" x14ac:dyDescent="0.35">
      <c r="A36" s="88">
        <v>45663</v>
      </c>
      <c r="B36" t="s">
        <v>291</v>
      </c>
      <c r="C36" t="s">
        <v>123</v>
      </c>
      <c r="D36" t="s">
        <v>100</v>
      </c>
      <c r="E36" t="s">
        <v>101</v>
      </c>
      <c r="G36" s="89">
        <v>8324.76</v>
      </c>
      <c r="J36" s="89"/>
    </row>
    <row r="37" spans="1:10" x14ac:dyDescent="0.35">
      <c r="A37" s="88">
        <v>45663</v>
      </c>
      <c r="B37" t="s">
        <v>292</v>
      </c>
      <c r="C37" t="s">
        <v>142</v>
      </c>
      <c r="D37" t="s">
        <v>143</v>
      </c>
      <c r="E37" t="s">
        <v>144</v>
      </c>
      <c r="F37" s="89">
        <v>17799.409799999998</v>
      </c>
      <c r="J37" s="89"/>
    </row>
    <row r="38" spans="1:10" x14ac:dyDescent="0.35">
      <c r="A38" s="88">
        <v>45663</v>
      </c>
      <c r="B38" t="s">
        <v>292</v>
      </c>
      <c r="C38" t="s">
        <v>142</v>
      </c>
      <c r="D38" t="s">
        <v>100</v>
      </c>
      <c r="E38" t="s">
        <v>101</v>
      </c>
      <c r="G38" s="89">
        <v>18103.5</v>
      </c>
      <c r="J38" s="89"/>
    </row>
    <row r="39" spans="1:10" x14ac:dyDescent="0.35">
      <c r="A39" s="88">
        <v>45663</v>
      </c>
      <c r="B39" t="s">
        <v>292</v>
      </c>
      <c r="C39" t="s">
        <v>142</v>
      </c>
      <c r="D39" t="s">
        <v>121</v>
      </c>
      <c r="E39" t="s">
        <v>122</v>
      </c>
      <c r="F39" s="89">
        <v>304.08999999999997</v>
      </c>
      <c r="J39" s="89"/>
    </row>
    <row r="40" spans="1:10" x14ac:dyDescent="0.35">
      <c r="A40" s="88">
        <v>45663</v>
      </c>
      <c r="B40" t="s">
        <v>293</v>
      </c>
      <c r="C40" t="s">
        <v>146</v>
      </c>
      <c r="D40" t="s">
        <v>115</v>
      </c>
      <c r="E40" t="s">
        <v>116</v>
      </c>
      <c r="F40" s="89">
        <v>75</v>
      </c>
      <c r="J40" s="89"/>
    </row>
    <row r="41" spans="1:10" x14ac:dyDescent="0.35">
      <c r="A41" s="88">
        <v>45663</v>
      </c>
      <c r="B41" t="s">
        <v>293</v>
      </c>
      <c r="C41" t="s">
        <v>146</v>
      </c>
      <c r="D41" t="s">
        <v>100</v>
      </c>
      <c r="E41" t="s">
        <v>101</v>
      </c>
      <c r="G41" s="89">
        <v>75</v>
      </c>
      <c r="J41" s="89"/>
    </row>
    <row r="42" spans="1:10" x14ac:dyDescent="0.35">
      <c r="A42" s="88">
        <v>45665</v>
      </c>
      <c r="B42" t="s">
        <v>294</v>
      </c>
      <c r="C42" t="s">
        <v>149</v>
      </c>
      <c r="D42" t="s">
        <v>126</v>
      </c>
      <c r="E42" t="s">
        <v>127</v>
      </c>
      <c r="F42" s="89">
        <v>990</v>
      </c>
      <c r="J42" s="89"/>
    </row>
    <row r="43" spans="1:10" x14ac:dyDescent="0.35">
      <c r="A43" s="88">
        <v>45665</v>
      </c>
      <c r="B43" t="s">
        <v>294</v>
      </c>
      <c r="C43" t="s">
        <v>149</v>
      </c>
      <c r="D43" t="s">
        <v>100</v>
      </c>
      <c r="E43" t="s">
        <v>101</v>
      </c>
      <c r="G43" s="89">
        <v>990</v>
      </c>
      <c r="J43" s="89"/>
    </row>
    <row r="44" spans="1:10" x14ac:dyDescent="0.35">
      <c r="A44" s="88">
        <v>45666</v>
      </c>
      <c r="B44" t="s">
        <v>295</v>
      </c>
      <c r="C44" t="s">
        <v>151</v>
      </c>
      <c r="D44" t="s">
        <v>136</v>
      </c>
      <c r="E44" t="s">
        <v>137</v>
      </c>
      <c r="F44" s="89">
        <v>2094.8200000000002</v>
      </c>
      <c r="J44" s="89"/>
    </row>
    <row r="45" spans="1:10" x14ac:dyDescent="0.35">
      <c r="A45" s="88">
        <v>45666</v>
      </c>
      <c r="B45" t="s">
        <v>295</v>
      </c>
      <c r="C45" t="s">
        <v>151</v>
      </c>
      <c r="D45" t="s">
        <v>115</v>
      </c>
      <c r="E45" t="s">
        <v>152</v>
      </c>
      <c r="F45" s="89">
        <v>17.95</v>
      </c>
      <c r="J45" s="89"/>
    </row>
    <row r="46" spans="1:10" x14ac:dyDescent="0.35">
      <c r="A46" s="88">
        <v>45666</v>
      </c>
      <c r="B46" t="s">
        <v>295</v>
      </c>
      <c r="C46" t="s">
        <v>151</v>
      </c>
      <c r="D46" t="s">
        <v>153</v>
      </c>
      <c r="E46" t="s">
        <v>154</v>
      </c>
      <c r="F46" s="89">
        <v>385.11</v>
      </c>
      <c r="J46" s="89"/>
    </row>
    <row r="47" spans="1:10" x14ac:dyDescent="0.35">
      <c r="A47" s="88">
        <v>45666</v>
      </c>
      <c r="B47" t="s">
        <v>295</v>
      </c>
      <c r="C47" t="s">
        <v>151</v>
      </c>
      <c r="D47" t="s">
        <v>155</v>
      </c>
      <c r="E47" t="s">
        <v>156</v>
      </c>
      <c r="F47" s="89">
        <v>80</v>
      </c>
      <c r="J47" s="89"/>
    </row>
    <row r="48" spans="1:10" x14ac:dyDescent="0.35">
      <c r="A48" s="88">
        <v>45666</v>
      </c>
      <c r="B48" t="s">
        <v>295</v>
      </c>
      <c r="C48" t="s">
        <v>151</v>
      </c>
      <c r="D48" t="s">
        <v>136</v>
      </c>
      <c r="E48" t="s">
        <v>137</v>
      </c>
      <c r="F48" s="89">
        <v>301.14</v>
      </c>
      <c r="J48" s="89"/>
    </row>
    <row r="49" spans="1:10" x14ac:dyDescent="0.35">
      <c r="A49" s="88">
        <v>45666</v>
      </c>
      <c r="B49" t="s">
        <v>295</v>
      </c>
      <c r="C49" t="s">
        <v>151</v>
      </c>
      <c r="D49" t="s">
        <v>157</v>
      </c>
      <c r="E49" t="s">
        <v>158</v>
      </c>
      <c r="F49" s="89">
        <v>5222</v>
      </c>
      <c r="J49" s="89"/>
    </row>
    <row r="50" spans="1:10" x14ac:dyDescent="0.35">
      <c r="A50" s="88">
        <v>45666</v>
      </c>
      <c r="B50" t="s">
        <v>295</v>
      </c>
      <c r="C50" t="s">
        <v>151</v>
      </c>
      <c r="D50" t="s">
        <v>134</v>
      </c>
      <c r="E50" t="s">
        <v>135</v>
      </c>
      <c r="F50" s="89">
        <v>450</v>
      </c>
      <c r="J50" s="89"/>
    </row>
    <row r="51" spans="1:10" x14ac:dyDescent="0.35">
      <c r="A51" s="88">
        <v>45666</v>
      </c>
      <c r="B51" t="s">
        <v>295</v>
      </c>
      <c r="C51" t="s">
        <v>151</v>
      </c>
      <c r="D51" t="s">
        <v>138</v>
      </c>
      <c r="E51" t="s">
        <v>139</v>
      </c>
      <c r="F51" s="89">
        <v>40.24</v>
      </c>
      <c r="J51" s="89"/>
    </row>
    <row r="52" spans="1:10" x14ac:dyDescent="0.35">
      <c r="A52" s="88">
        <v>45666</v>
      </c>
      <c r="B52" t="s">
        <v>295</v>
      </c>
      <c r="C52" t="s">
        <v>151</v>
      </c>
      <c r="D52" t="s">
        <v>96</v>
      </c>
      <c r="E52" t="s">
        <v>97</v>
      </c>
      <c r="G52" s="89">
        <v>0.11</v>
      </c>
      <c r="J52" s="89"/>
    </row>
    <row r="53" spans="1:10" x14ac:dyDescent="0.35">
      <c r="A53" s="88">
        <v>45666</v>
      </c>
      <c r="B53" t="s">
        <v>295</v>
      </c>
      <c r="C53" t="s">
        <v>151</v>
      </c>
      <c r="D53" t="s">
        <v>121</v>
      </c>
      <c r="E53" t="s">
        <v>122</v>
      </c>
      <c r="G53" s="89">
        <v>8591.15</v>
      </c>
      <c r="J53" s="89"/>
    </row>
    <row r="54" spans="1:10" x14ac:dyDescent="0.35">
      <c r="A54" s="88">
        <v>45666</v>
      </c>
      <c r="B54" t="s">
        <v>295</v>
      </c>
      <c r="C54" t="s">
        <v>151</v>
      </c>
      <c r="D54" t="s">
        <v>100</v>
      </c>
      <c r="E54" t="s">
        <v>101</v>
      </c>
      <c r="J54" s="89"/>
    </row>
    <row r="55" spans="1:10" x14ac:dyDescent="0.35">
      <c r="A55" s="88">
        <v>45667</v>
      </c>
      <c r="B55" t="s">
        <v>297</v>
      </c>
      <c r="C55" t="s">
        <v>296</v>
      </c>
      <c r="D55" t="s">
        <v>143</v>
      </c>
      <c r="E55" t="s">
        <v>144</v>
      </c>
      <c r="F55" s="89">
        <v>7534.6</v>
      </c>
      <c r="J55" s="89"/>
    </row>
    <row r="56" spans="1:10" x14ac:dyDescent="0.35">
      <c r="A56" s="88">
        <v>45667</v>
      </c>
      <c r="B56" t="s">
        <v>297</v>
      </c>
      <c r="C56" t="s">
        <v>296</v>
      </c>
      <c r="D56" t="s">
        <v>100</v>
      </c>
      <c r="E56" t="s">
        <v>101</v>
      </c>
      <c r="G56" s="89">
        <v>7534.6</v>
      </c>
      <c r="J56" s="89"/>
    </row>
    <row r="57" spans="1:10" x14ac:dyDescent="0.35">
      <c r="A57" s="88">
        <v>45671</v>
      </c>
      <c r="B57" t="s">
        <v>298</v>
      </c>
      <c r="C57" t="s">
        <v>182</v>
      </c>
      <c r="D57" t="s">
        <v>155</v>
      </c>
      <c r="E57" t="s">
        <v>156</v>
      </c>
      <c r="F57" s="89">
        <v>2367.88</v>
      </c>
      <c r="J57" s="89"/>
    </row>
    <row r="58" spans="1:10" x14ac:dyDescent="0.35">
      <c r="A58" s="88">
        <v>45671</v>
      </c>
      <c r="B58" t="s">
        <v>298</v>
      </c>
      <c r="C58" t="s">
        <v>182</v>
      </c>
      <c r="D58" t="s">
        <v>100</v>
      </c>
      <c r="E58" t="s">
        <v>101</v>
      </c>
      <c r="G58" s="89">
        <v>2367.88</v>
      </c>
      <c r="J58" s="89"/>
    </row>
    <row r="59" spans="1:10" x14ac:dyDescent="0.35">
      <c r="A59" s="88">
        <v>45671</v>
      </c>
      <c r="B59" t="s">
        <v>299</v>
      </c>
      <c r="C59" t="s">
        <v>179</v>
      </c>
      <c r="D59" t="s">
        <v>180</v>
      </c>
      <c r="E59" t="s">
        <v>181</v>
      </c>
      <c r="F59" s="89">
        <v>6483.23</v>
      </c>
      <c r="J59" s="89"/>
    </row>
    <row r="60" spans="1:10" x14ac:dyDescent="0.35">
      <c r="A60" s="88">
        <v>45671</v>
      </c>
      <c r="B60" t="s">
        <v>299</v>
      </c>
      <c r="C60" t="s">
        <v>179</v>
      </c>
      <c r="D60" t="s">
        <v>100</v>
      </c>
      <c r="E60" t="s">
        <v>101</v>
      </c>
      <c r="G60" s="89">
        <v>6483.23</v>
      </c>
      <c r="J60" s="89"/>
    </row>
    <row r="61" spans="1:10" x14ac:dyDescent="0.35">
      <c r="A61" s="88">
        <v>45671</v>
      </c>
      <c r="B61" t="s">
        <v>300</v>
      </c>
      <c r="C61" t="s">
        <v>186</v>
      </c>
      <c r="D61" t="s">
        <v>187</v>
      </c>
      <c r="E61" t="s">
        <v>188</v>
      </c>
      <c r="F61" s="89">
        <v>31083.21</v>
      </c>
      <c r="J61" s="89"/>
    </row>
    <row r="62" spans="1:10" x14ac:dyDescent="0.35">
      <c r="A62" s="88">
        <v>45671</v>
      </c>
      <c r="B62" t="s">
        <v>300</v>
      </c>
      <c r="C62" t="s">
        <v>186</v>
      </c>
      <c r="D62" t="s">
        <v>107</v>
      </c>
      <c r="E62" t="s">
        <v>108</v>
      </c>
      <c r="G62" s="89">
        <v>3108.32</v>
      </c>
      <c r="J62" s="89"/>
    </row>
    <row r="63" spans="1:10" x14ac:dyDescent="0.35">
      <c r="A63" s="88">
        <v>45671</v>
      </c>
      <c r="B63" t="s">
        <v>300</v>
      </c>
      <c r="C63" t="s">
        <v>186</v>
      </c>
      <c r="D63" t="s">
        <v>100</v>
      </c>
      <c r="E63" t="s">
        <v>101</v>
      </c>
      <c r="G63" s="89">
        <v>27974.89</v>
      </c>
      <c r="J63" s="89"/>
    </row>
    <row r="64" spans="1:10" x14ac:dyDescent="0.35">
      <c r="A64" s="88">
        <v>45671</v>
      </c>
      <c r="B64" t="s">
        <v>301</v>
      </c>
      <c r="C64" t="s">
        <v>190</v>
      </c>
      <c r="D64" t="s">
        <v>191</v>
      </c>
      <c r="E64" t="s">
        <v>192</v>
      </c>
      <c r="F64" s="89">
        <v>1875</v>
      </c>
      <c r="J64" s="89"/>
    </row>
    <row r="65" spans="1:10" x14ac:dyDescent="0.35">
      <c r="A65" s="88">
        <v>45671</v>
      </c>
      <c r="B65" t="s">
        <v>301</v>
      </c>
      <c r="C65" t="s">
        <v>190</v>
      </c>
      <c r="D65" t="s">
        <v>100</v>
      </c>
      <c r="E65" t="s">
        <v>101</v>
      </c>
      <c r="G65" s="89">
        <v>1875</v>
      </c>
      <c r="J65" s="89"/>
    </row>
    <row r="66" spans="1:10" x14ac:dyDescent="0.35">
      <c r="A66" s="88">
        <v>45671</v>
      </c>
      <c r="B66" t="s">
        <v>302</v>
      </c>
      <c r="C66" t="s">
        <v>197</v>
      </c>
      <c r="D66" t="s">
        <v>191</v>
      </c>
      <c r="E66" t="s">
        <v>192</v>
      </c>
      <c r="F66" s="89">
        <v>3750</v>
      </c>
      <c r="J66" s="89"/>
    </row>
    <row r="67" spans="1:10" x14ac:dyDescent="0.35">
      <c r="A67" s="88">
        <v>45671</v>
      </c>
      <c r="B67" t="s">
        <v>302</v>
      </c>
      <c r="C67" t="s">
        <v>197</v>
      </c>
      <c r="D67" t="s">
        <v>100</v>
      </c>
      <c r="E67" t="s">
        <v>101</v>
      </c>
      <c r="G67" s="89">
        <v>3750</v>
      </c>
      <c r="J67" s="89"/>
    </row>
    <row r="68" spans="1:10" x14ac:dyDescent="0.35">
      <c r="A68" s="88">
        <v>45671</v>
      </c>
      <c r="B68" t="s">
        <v>303</v>
      </c>
      <c r="C68" t="s">
        <v>215</v>
      </c>
      <c r="D68" t="s">
        <v>200</v>
      </c>
      <c r="E68" t="s">
        <v>201</v>
      </c>
      <c r="F68" s="89">
        <v>57964.82</v>
      </c>
      <c r="J68" s="89"/>
    </row>
    <row r="69" spans="1:10" x14ac:dyDescent="0.35">
      <c r="A69" s="88">
        <v>45671</v>
      </c>
      <c r="B69" t="s">
        <v>303</v>
      </c>
      <c r="C69" t="s">
        <v>215</v>
      </c>
      <c r="D69" t="s">
        <v>100</v>
      </c>
      <c r="E69" t="s">
        <v>101</v>
      </c>
      <c r="G69" s="89">
        <v>57964.84</v>
      </c>
      <c r="J69" s="89"/>
    </row>
    <row r="70" spans="1:10" x14ac:dyDescent="0.35">
      <c r="A70" s="88">
        <v>45671</v>
      </c>
      <c r="B70" t="s">
        <v>303</v>
      </c>
      <c r="C70" t="s">
        <v>215</v>
      </c>
      <c r="D70" t="s">
        <v>189</v>
      </c>
      <c r="E70" t="s">
        <v>122</v>
      </c>
      <c r="F70" s="89">
        <v>0.02</v>
      </c>
      <c r="J70" s="89"/>
    </row>
    <row r="71" spans="1:10" x14ac:dyDescent="0.35">
      <c r="A71" s="88">
        <v>45671</v>
      </c>
      <c r="B71" t="s">
        <v>304</v>
      </c>
      <c r="C71" t="s">
        <v>216</v>
      </c>
      <c r="D71" t="s">
        <v>187</v>
      </c>
      <c r="E71" t="s">
        <v>188</v>
      </c>
      <c r="F71" s="89">
        <v>97394.4</v>
      </c>
      <c r="J71" s="89"/>
    </row>
    <row r="72" spans="1:10" x14ac:dyDescent="0.35">
      <c r="A72" s="88">
        <v>45671</v>
      </c>
      <c r="B72" t="s">
        <v>304</v>
      </c>
      <c r="C72" t="s">
        <v>216</v>
      </c>
      <c r="D72" t="s">
        <v>107</v>
      </c>
      <c r="E72" t="s">
        <v>108</v>
      </c>
      <c r="G72" s="89">
        <v>9739.44</v>
      </c>
      <c r="J72" s="89"/>
    </row>
    <row r="73" spans="1:10" x14ac:dyDescent="0.35">
      <c r="A73" s="88">
        <v>45671</v>
      </c>
      <c r="B73" t="s">
        <v>304</v>
      </c>
      <c r="C73" t="s">
        <v>216</v>
      </c>
      <c r="D73" t="s">
        <v>100</v>
      </c>
      <c r="E73" t="s">
        <v>101</v>
      </c>
      <c r="G73" s="89">
        <v>87654.96</v>
      </c>
      <c r="J73" s="89"/>
    </row>
    <row r="74" spans="1:10" x14ac:dyDescent="0.35">
      <c r="A74" s="88">
        <v>45671</v>
      </c>
      <c r="B74" t="s">
        <v>305</v>
      </c>
      <c r="C74" t="s">
        <v>222</v>
      </c>
      <c r="D74" t="s">
        <v>74</v>
      </c>
      <c r="E74" t="s">
        <v>223</v>
      </c>
      <c r="F74" s="89">
        <v>34372.32</v>
      </c>
      <c r="J74" s="89"/>
    </row>
    <row r="75" spans="1:10" x14ac:dyDescent="0.35">
      <c r="A75" s="88">
        <v>45671</v>
      </c>
      <c r="B75" t="s">
        <v>305</v>
      </c>
      <c r="C75" t="s">
        <v>222</v>
      </c>
      <c r="D75" t="s">
        <v>100</v>
      </c>
      <c r="E75" t="s">
        <v>101</v>
      </c>
      <c r="G75" s="89">
        <v>34372.32</v>
      </c>
      <c r="J75" s="89"/>
    </row>
    <row r="76" spans="1:10" x14ac:dyDescent="0.35">
      <c r="A76" s="88">
        <v>45671</v>
      </c>
      <c r="B76" t="s">
        <v>306</v>
      </c>
      <c r="C76" t="s">
        <v>227</v>
      </c>
      <c r="D76" t="s">
        <v>119</v>
      </c>
      <c r="E76" t="s">
        <v>117</v>
      </c>
      <c r="F76" s="89">
        <v>41030</v>
      </c>
      <c r="J76" s="89"/>
    </row>
    <row r="77" spans="1:10" x14ac:dyDescent="0.35">
      <c r="A77" s="88">
        <v>45671</v>
      </c>
      <c r="B77" t="s">
        <v>306</v>
      </c>
      <c r="C77" t="s">
        <v>227</v>
      </c>
      <c r="D77" t="s">
        <v>100</v>
      </c>
      <c r="E77" t="s">
        <v>101</v>
      </c>
      <c r="G77" s="89">
        <v>41030</v>
      </c>
      <c r="J77" s="89"/>
    </row>
    <row r="78" spans="1:10" x14ac:dyDescent="0.35">
      <c r="A78" s="88">
        <v>45672</v>
      </c>
      <c r="B78" t="s">
        <v>307</v>
      </c>
      <c r="C78" t="s">
        <v>123</v>
      </c>
      <c r="D78" t="s">
        <v>126</v>
      </c>
      <c r="E78" t="s">
        <v>127</v>
      </c>
      <c r="F78" s="89">
        <v>1210</v>
      </c>
      <c r="J78" s="89"/>
    </row>
    <row r="79" spans="1:10" x14ac:dyDescent="0.35">
      <c r="A79" s="88">
        <v>45672</v>
      </c>
      <c r="B79" t="s">
        <v>307</v>
      </c>
      <c r="C79" t="s">
        <v>123</v>
      </c>
      <c r="D79" t="s">
        <v>115</v>
      </c>
      <c r="E79" t="s">
        <v>116</v>
      </c>
      <c r="F79" s="89">
        <v>1035.44</v>
      </c>
      <c r="J79" s="89"/>
    </row>
    <row r="80" spans="1:10" x14ac:dyDescent="0.35">
      <c r="A80" s="88">
        <v>45672</v>
      </c>
      <c r="B80" t="s">
        <v>307</v>
      </c>
      <c r="C80" t="s">
        <v>123</v>
      </c>
      <c r="D80" t="s">
        <v>228</v>
      </c>
      <c r="E80" t="s">
        <v>229</v>
      </c>
      <c r="F80" s="89">
        <v>1054.22</v>
      </c>
      <c r="J80" s="89"/>
    </row>
    <row r="81" spans="1:10" x14ac:dyDescent="0.35">
      <c r="A81" s="88">
        <v>45672</v>
      </c>
      <c r="B81" t="s">
        <v>307</v>
      </c>
      <c r="C81" t="s">
        <v>123</v>
      </c>
      <c r="D81" t="s">
        <v>134</v>
      </c>
      <c r="E81" t="s">
        <v>135</v>
      </c>
      <c r="F81" s="89">
        <v>3000</v>
      </c>
      <c r="J81" s="89"/>
    </row>
    <row r="82" spans="1:10" x14ac:dyDescent="0.35">
      <c r="A82" s="88">
        <v>45672</v>
      </c>
      <c r="B82" t="s">
        <v>307</v>
      </c>
      <c r="C82" t="s">
        <v>123</v>
      </c>
      <c r="D82" t="s">
        <v>136</v>
      </c>
      <c r="E82" t="s">
        <v>137</v>
      </c>
      <c r="F82" s="89">
        <v>200</v>
      </c>
      <c r="J82" s="89"/>
    </row>
    <row r="83" spans="1:10" x14ac:dyDescent="0.35">
      <c r="A83" s="88">
        <v>45672</v>
      </c>
      <c r="B83" t="s">
        <v>307</v>
      </c>
      <c r="C83" t="s">
        <v>123</v>
      </c>
      <c r="D83" t="s">
        <v>138</v>
      </c>
      <c r="E83" t="s">
        <v>139</v>
      </c>
      <c r="F83" s="89">
        <v>400</v>
      </c>
      <c r="J83" s="89"/>
    </row>
    <row r="84" spans="1:10" x14ac:dyDescent="0.35">
      <c r="A84" s="88">
        <v>45672</v>
      </c>
      <c r="B84" t="s">
        <v>307</v>
      </c>
      <c r="C84" t="s">
        <v>123</v>
      </c>
      <c r="D84" t="s">
        <v>96</v>
      </c>
      <c r="E84" t="s">
        <v>97</v>
      </c>
      <c r="F84" s="89">
        <v>134.28</v>
      </c>
      <c r="J84" s="89"/>
    </row>
    <row r="85" spans="1:10" x14ac:dyDescent="0.35">
      <c r="A85" s="88">
        <v>45672</v>
      </c>
      <c r="B85" t="s">
        <v>307</v>
      </c>
      <c r="C85" t="s">
        <v>123</v>
      </c>
      <c r="D85" t="s">
        <v>100</v>
      </c>
      <c r="E85" t="s">
        <v>101</v>
      </c>
      <c r="G85" s="89">
        <v>7033.94</v>
      </c>
      <c r="J85" s="89"/>
    </row>
    <row r="86" spans="1:10" x14ac:dyDescent="0.35">
      <c r="A86" s="88">
        <v>45672</v>
      </c>
      <c r="B86" t="s">
        <v>308</v>
      </c>
      <c r="C86" t="s">
        <v>232</v>
      </c>
      <c r="D86" t="s">
        <v>233</v>
      </c>
      <c r="E86" t="s">
        <v>234</v>
      </c>
      <c r="F86" s="89">
        <v>1677.99</v>
      </c>
      <c r="J86" s="89"/>
    </row>
    <row r="87" spans="1:10" x14ac:dyDescent="0.35">
      <c r="A87" s="88">
        <v>45672</v>
      </c>
      <c r="B87" t="s">
        <v>308</v>
      </c>
      <c r="C87" t="s">
        <v>232</v>
      </c>
      <c r="D87" t="s">
        <v>100</v>
      </c>
      <c r="E87" t="s">
        <v>101</v>
      </c>
      <c r="G87" s="89">
        <v>1677.99</v>
      </c>
      <c r="J87" s="89"/>
    </row>
    <row r="88" spans="1:10" x14ac:dyDescent="0.35">
      <c r="A88" s="88">
        <v>45672</v>
      </c>
      <c r="B88" t="s">
        <v>309</v>
      </c>
      <c r="C88" t="s">
        <v>236</v>
      </c>
      <c r="D88" t="s">
        <v>233</v>
      </c>
      <c r="E88" t="s">
        <v>234</v>
      </c>
      <c r="F88" s="89">
        <v>4126.74</v>
      </c>
      <c r="J88" s="89"/>
    </row>
    <row r="89" spans="1:10" x14ac:dyDescent="0.35">
      <c r="A89" s="88">
        <v>45672</v>
      </c>
      <c r="B89" t="s">
        <v>309</v>
      </c>
      <c r="C89" t="s">
        <v>236</v>
      </c>
      <c r="D89" t="s">
        <v>100</v>
      </c>
      <c r="E89" t="s">
        <v>101</v>
      </c>
      <c r="G89" s="89">
        <v>4126.74</v>
      </c>
      <c r="J89" s="89"/>
    </row>
    <row r="90" spans="1:10" x14ac:dyDescent="0.35">
      <c r="A90" s="88">
        <v>45672</v>
      </c>
      <c r="B90" t="s">
        <v>310</v>
      </c>
      <c r="C90" t="s">
        <v>238</v>
      </c>
      <c r="D90" t="s">
        <v>233</v>
      </c>
      <c r="E90" t="s">
        <v>234</v>
      </c>
      <c r="F90" s="89">
        <v>1467.4</v>
      </c>
      <c r="J90" s="89"/>
    </row>
    <row r="91" spans="1:10" x14ac:dyDescent="0.35">
      <c r="A91" s="88">
        <v>45672</v>
      </c>
      <c r="B91" t="s">
        <v>310</v>
      </c>
      <c r="C91" t="s">
        <v>238</v>
      </c>
      <c r="D91" t="s">
        <v>100</v>
      </c>
      <c r="E91" t="s">
        <v>101</v>
      </c>
      <c r="G91" s="89">
        <v>1467.4</v>
      </c>
      <c r="J91" s="89"/>
    </row>
    <row r="92" spans="1:10" x14ac:dyDescent="0.35">
      <c r="A92" s="88">
        <v>45672</v>
      </c>
      <c r="B92" t="s">
        <v>311</v>
      </c>
      <c r="C92" t="s">
        <v>239</v>
      </c>
      <c r="D92" t="s">
        <v>233</v>
      </c>
      <c r="E92" t="s">
        <v>234</v>
      </c>
      <c r="F92" s="89">
        <v>1467.4</v>
      </c>
      <c r="J92" s="89"/>
    </row>
    <row r="93" spans="1:10" x14ac:dyDescent="0.35">
      <c r="A93" s="88">
        <v>45672</v>
      </c>
      <c r="B93" t="s">
        <v>311</v>
      </c>
      <c r="C93" t="s">
        <v>239</v>
      </c>
      <c r="D93" t="s">
        <v>100</v>
      </c>
      <c r="E93" t="s">
        <v>101</v>
      </c>
      <c r="G93" s="89">
        <v>1467.4</v>
      </c>
      <c r="J93" s="89"/>
    </row>
    <row r="94" spans="1:10" x14ac:dyDescent="0.35">
      <c r="A94" s="88">
        <v>45672</v>
      </c>
      <c r="B94" t="s">
        <v>312</v>
      </c>
      <c r="C94" t="s">
        <v>241</v>
      </c>
      <c r="D94" t="s">
        <v>233</v>
      </c>
      <c r="E94" t="s">
        <v>234</v>
      </c>
      <c r="F94" s="89">
        <v>1256.81</v>
      </c>
      <c r="J94" s="89"/>
    </row>
    <row r="95" spans="1:10" x14ac:dyDescent="0.35">
      <c r="A95" s="88">
        <v>45672</v>
      </c>
      <c r="B95" t="s">
        <v>314</v>
      </c>
      <c r="C95" t="s">
        <v>241</v>
      </c>
      <c r="D95" t="s">
        <v>100</v>
      </c>
      <c r="E95" t="s">
        <v>101</v>
      </c>
      <c r="G95" s="89">
        <v>1256.81</v>
      </c>
      <c r="J95" s="89"/>
    </row>
    <row r="96" spans="1:10" x14ac:dyDescent="0.35">
      <c r="A96" s="88">
        <v>45673</v>
      </c>
      <c r="B96" t="s">
        <v>313</v>
      </c>
      <c r="C96" t="s">
        <v>244</v>
      </c>
      <c r="D96" t="s">
        <v>202</v>
      </c>
      <c r="E96" t="s">
        <v>203</v>
      </c>
      <c r="F96" s="89">
        <v>6814.14</v>
      </c>
      <c r="J96" s="89"/>
    </row>
    <row r="97" spans="1:7" x14ac:dyDescent="0.35">
      <c r="A97" s="88">
        <v>45673</v>
      </c>
      <c r="B97" t="s">
        <v>313</v>
      </c>
      <c r="C97" t="s">
        <v>244</v>
      </c>
      <c r="D97" t="s">
        <v>208</v>
      </c>
      <c r="E97" t="s">
        <v>209</v>
      </c>
      <c r="F97" s="89">
        <v>20929.150000000001</v>
      </c>
    </row>
    <row r="98" spans="1:7" x14ac:dyDescent="0.35">
      <c r="A98" s="88">
        <v>45673</v>
      </c>
      <c r="B98" t="s">
        <v>313</v>
      </c>
      <c r="C98" t="s">
        <v>244</v>
      </c>
      <c r="D98" t="s">
        <v>100</v>
      </c>
      <c r="E98" t="s">
        <v>101</v>
      </c>
      <c r="G98" s="89">
        <v>27743.29</v>
      </c>
    </row>
    <row r="99" spans="1:7" x14ac:dyDescent="0.35">
      <c r="A99" s="88">
        <v>45673</v>
      </c>
      <c r="B99" t="s">
        <v>315</v>
      </c>
      <c r="C99" t="s">
        <v>247</v>
      </c>
      <c r="D99" t="s">
        <v>204</v>
      </c>
      <c r="E99" t="s">
        <v>205</v>
      </c>
      <c r="F99" s="89">
        <v>1946.9</v>
      </c>
    </row>
    <row r="100" spans="1:7" x14ac:dyDescent="0.35">
      <c r="A100" s="88">
        <v>45673</v>
      </c>
      <c r="B100" t="s">
        <v>315</v>
      </c>
      <c r="C100" t="s">
        <v>247</v>
      </c>
      <c r="D100" t="s">
        <v>100</v>
      </c>
      <c r="E100" t="s">
        <v>101</v>
      </c>
      <c r="G100" s="89">
        <v>1946.9</v>
      </c>
    </row>
    <row r="101" spans="1:7" x14ac:dyDescent="0.35">
      <c r="A101" s="88">
        <v>45673</v>
      </c>
      <c r="B101" t="s">
        <v>316</v>
      </c>
      <c r="C101" t="s">
        <v>317</v>
      </c>
      <c r="D101" t="s">
        <v>250</v>
      </c>
      <c r="E101" t="s">
        <v>251</v>
      </c>
      <c r="F101" s="89">
        <v>604.29999999999995</v>
      </c>
    </row>
    <row r="102" spans="1:7" x14ac:dyDescent="0.35">
      <c r="A102" s="88">
        <v>45673</v>
      </c>
      <c r="B102" t="s">
        <v>316</v>
      </c>
      <c r="C102" t="s">
        <v>317</v>
      </c>
      <c r="D102" t="s">
        <v>96</v>
      </c>
      <c r="E102" t="s">
        <v>97</v>
      </c>
      <c r="F102" s="89">
        <v>90.65</v>
      </c>
    </row>
    <row r="103" spans="1:7" x14ac:dyDescent="0.35">
      <c r="A103" s="88">
        <v>45673</v>
      </c>
      <c r="B103" t="s">
        <v>316</v>
      </c>
      <c r="C103" t="s">
        <v>317</v>
      </c>
      <c r="D103" t="s">
        <v>100</v>
      </c>
      <c r="E103" t="s">
        <v>101</v>
      </c>
      <c r="G103" s="89">
        <v>694.95</v>
      </c>
    </row>
    <row r="104" spans="1:7" x14ac:dyDescent="0.35">
      <c r="A104" s="88">
        <v>45685</v>
      </c>
      <c r="B104" t="s">
        <v>318</v>
      </c>
      <c r="C104" t="s">
        <v>254</v>
      </c>
      <c r="D104" t="s">
        <v>187</v>
      </c>
      <c r="E104" t="s">
        <v>188</v>
      </c>
      <c r="F104" s="89">
        <v>4313.51</v>
      </c>
    </row>
    <row r="105" spans="1:7" x14ac:dyDescent="0.35">
      <c r="A105" s="88">
        <v>45685</v>
      </c>
      <c r="B105" t="s">
        <v>318</v>
      </c>
      <c r="C105" t="s">
        <v>254</v>
      </c>
      <c r="D105" t="s">
        <v>107</v>
      </c>
      <c r="E105" t="s">
        <v>108</v>
      </c>
      <c r="F105" s="89">
        <v>0</v>
      </c>
      <c r="G105" s="89">
        <v>431.35</v>
      </c>
    </row>
    <row r="106" spans="1:7" x14ac:dyDescent="0.35">
      <c r="A106" s="88">
        <v>45685</v>
      </c>
      <c r="B106" t="s">
        <v>318</v>
      </c>
      <c r="C106" t="s">
        <v>254</v>
      </c>
      <c r="D106" t="s">
        <v>100</v>
      </c>
      <c r="E106" t="s">
        <v>101</v>
      </c>
      <c r="G106" s="89">
        <v>3882.16</v>
      </c>
    </row>
    <row r="107" spans="1:7" x14ac:dyDescent="0.35">
      <c r="A107" s="88">
        <v>45686</v>
      </c>
      <c r="B107" t="s">
        <v>319</v>
      </c>
      <c r="C107" t="s">
        <v>259</v>
      </c>
      <c r="D107" t="s">
        <v>200</v>
      </c>
      <c r="E107" t="s">
        <v>201</v>
      </c>
      <c r="F107" s="89">
        <v>60618.23</v>
      </c>
    </row>
    <row r="108" spans="1:7" x14ac:dyDescent="0.35">
      <c r="A108" s="88">
        <v>45686</v>
      </c>
      <c r="B108" t="s">
        <v>319</v>
      </c>
      <c r="C108" t="s">
        <v>259</v>
      </c>
      <c r="D108" t="s">
        <v>100</v>
      </c>
      <c r="E108" t="s">
        <v>101</v>
      </c>
      <c r="G108" s="89">
        <v>60618.23</v>
      </c>
    </row>
    <row r="109" spans="1:7" x14ac:dyDescent="0.35">
      <c r="A109" s="88">
        <v>45686</v>
      </c>
      <c r="B109" t="s">
        <v>320</v>
      </c>
      <c r="C109" t="s">
        <v>262</v>
      </c>
      <c r="D109" t="s">
        <v>187</v>
      </c>
      <c r="E109" t="s">
        <v>188</v>
      </c>
      <c r="F109" s="89">
        <v>3375</v>
      </c>
    </row>
    <row r="110" spans="1:7" x14ac:dyDescent="0.35">
      <c r="A110" s="88">
        <v>45686</v>
      </c>
      <c r="B110" t="s">
        <v>320</v>
      </c>
      <c r="C110" t="s">
        <v>262</v>
      </c>
      <c r="D110" t="s">
        <v>107</v>
      </c>
      <c r="E110" t="s">
        <v>108</v>
      </c>
      <c r="F110" s="89">
        <v>0</v>
      </c>
      <c r="G110" s="89">
        <v>337.5</v>
      </c>
    </row>
    <row r="111" spans="1:7" x14ac:dyDescent="0.35">
      <c r="A111" s="88">
        <v>45686</v>
      </c>
      <c r="B111" t="s">
        <v>320</v>
      </c>
      <c r="C111" t="s">
        <v>262</v>
      </c>
      <c r="D111" t="s">
        <v>100</v>
      </c>
      <c r="E111" t="s">
        <v>101</v>
      </c>
      <c r="G111" s="89">
        <v>3037.5</v>
      </c>
    </row>
    <row r="112" spans="1:7" x14ac:dyDescent="0.35">
      <c r="A112" s="88">
        <v>45686</v>
      </c>
      <c r="B112" t="s">
        <v>321</v>
      </c>
      <c r="C112" t="s">
        <v>265</v>
      </c>
      <c r="D112" t="s">
        <v>132</v>
      </c>
      <c r="E112" t="s">
        <v>133</v>
      </c>
      <c r="F112" s="89">
        <v>1500</v>
      </c>
    </row>
    <row r="113" spans="1:8" x14ac:dyDescent="0.35">
      <c r="A113" s="88">
        <v>45686</v>
      </c>
      <c r="B113" t="s">
        <v>321</v>
      </c>
      <c r="C113" t="s">
        <v>265</v>
      </c>
      <c r="D113" t="s">
        <v>100</v>
      </c>
      <c r="E113" t="s">
        <v>101</v>
      </c>
      <c r="G113" s="89">
        <v>1500</v>
      </c>
    </row>
    <row r="114" spans="1:8" x14ac:dyDescent="0.35">
      <c r="A114" s="88">
        <v>45686</v>
      </c>
      <c r="B114" t="s">
        <v>322</v>
      </c>
      <c r="C114" t="s">
        <v>270</v>
      </c>
      <c r="D114" t="s">
        <v>115</v>
      </c>
      <c r="E114" t="s">
        <v>116</v>
      </c>
      <c r="F114" s="89">
        <v>66478.080000000002</v>
      </c>
    </row>
    <row r="115" spans="1:8" x14ac:dyDescent="0.35">
      <c r="A115" s="88">
        <v>45686</v>
      </c>
      <c r="B115" t="s">
        <v>322</v>
      </c>
      <c r="C115" t="s">
        <v>270</v>
      </c>
      <c r="D115" t="s">
        <v>98</v>
      </c>
      <c r="E115" t="s">
        <v>99</v>
      </c>
      <c r="G115" s="89">
        <v>1013.21</v>
      </c>
    </row>
    <row r="116" spans="1:8" x14ac:dyDescent="0.35">
      <c r="A116" s="88">
        <v>45686</v>
      </c>
      <c r="B116" t="s">
        <v>322</v>
      </c>
      <c r="C116" t="s">
        <v>270</v>
      </c>
      <c r="D116" t="s">
        <v>100</v>
      </c>
      <c r="E116" t="s">
        <v>101</v>
      </c>
      <c r="G116" s="89">
        <v>65464.88</v>
      </c>
    </row>
    <row r="117" spans="1:8" x14ac:dyDescent="0.35">
      <c r="A117" s="88">
        <v>45686</v>
      </c>
      <c r="B117" t="s">
        <v>322</v>
      </c>
      <c r="C117" t="s">
        <v>270</v>
      </c>
      <c r="D117" t="s">
        <v>121</v>
      </c>
      <c r="E117" t="s">
        <v>122</v>
      </c>
      <c r="F117" s="89">
        <v>0.01</v>
      </c>
    </row>
    <row r="118" spans="1:8" x14ac:dyDescent="0.35">
      <c r="A118" s="88">
        <v>45688</v>
      </c>
      <c r="B118" t="s">
        <v>323</v>
      </c>
      <c r="C118" t="s">
        <v>272</v>
      </c>
      <c r="D118" t="s">
        <v>273</v>
      </c>
      <c r="E118" t="s">
        <v>274</v>
      </c>
      <c r="F118" s="89">
        <v>3570.22</v>
      </c>
    </row>
    <row r="119" spans="1:8" x14ac:dyDescent="0.35">
      <c r="A119" s="88">
        <v>45688</v>
      </c>
      <c r="B119" t="s">
        <v>323</v>
      </c>
      <c r="C119" t="s">
        <v>272</v>
      </c>
      <c r="D119" t="s">
        <v>100</v>
      </c>
      <c r="E119" t="s">
        <v>101</v>
      </c>
      <c r="G119" s="89">
        <v>3570.22</v>
      </c>
    </row>
    <row r="120" spans="1:8" x14ac:dyDescent="0.35">
      <c r="A120" s="91"/>
      <c r="B120" s="92"/>
      <c r="C120" s="94" t="s">
        <v>324</v>
      </c>
      <c r="D120" s="92"/>
      <c r="E120" s="92"/>
      <c r="F120" s="93"/>
      <c r="G120" s="93"/>
      <c r="H120" s="92"/>
    </row>
    <row r="121" spans="1:8" x14ac:dyDescent="0.35">
      <c r="A121" s="88">
        <v>45660</v>
      </c>
      <c r="B121" t="s">
        <v>325</v>
      </c>
      <c r="C121" t="s">
        <v>162</v>
      </c>
      <c r="D121" t="s">
        <v>115</v>
      </c>
      <c r="E121" t="s">
        <v>116</v>
      </c>
      <c r="F121" s="89">
        <v>35525.570999999996</v>
      </c>
    </row>
    <row r="122" spans="1:8" x14ac:dyDescent="0.35">
      <c r="A122" s="88">
        <v>45660</v>
      </c>
      <c r="B122" t="s">
        <v>326</v>
      </c>
      <c r="C122" t="s">
        <v>162</v>
      </c>
      <c r="D122" t="s">
        <v>119</v>
      </c>
      <c r="E122" t="s">
        <v>117</v>
      </c>
      <c r="G122" s="89">
        <v>35525.570999999996</v>
      </c>
    </row>
    <row r="123" spans="1:8" x14ac:dyDescent="0.35">
      <c r="A123" s="88">
        <v>45671</v>
      </c>
      <c r="B123" t="s">
        <v>326</v>
      </c>
      <c r="C123" t="s">
        <v>167</v>
      </c>
      <c r="D123" t="s">
        <v>134</v>
      </c>
      <c r="E123" t="s">
        <v>135</v>
      </c>
      <c r="F123" s="89">
        <v>4060</v>
      </c>
      <c r="G123" s="89">
        <v>42</v>
      </c>
    </row>
    <row r="124" spans="1:8" x14ac:dyDescent="0.35">
      <c r="A124" s="88">
        <v>45671</v>
      </c>
      <c r="B124" t="s">
        <v>327</v>
      </c>
      <c r="C124" t="s">
        <v>167</v>
      </c>
      <c r="D124" t="s">
        <v>143</v>
      </c>
      <c r="E124" t="s">
        <v>144</v>
      </c>
      <c r="G124" s="89">
        <v>4130</v>
      </c>
    </row>
    <row r="125" spans="1:8" x14ac:dyDescent="0.35">
      <c r="A125" s="88">
        <v>45671</v>
      </c>
      <c r="B125" t="s">
        <v>327</v>
      </c>
      <c r="C125" t="s">
        <v>167</v>
      </c>
      <c r="D125" t="s">
        <v>100</v>
      </c>
      <c r="E125" t="s">
        <v>101</v>
      </c>
      <c r="F125" s="89">
        <v>70</v>
      </c>
    </row>
    <row r="126" spans="1:8" x14ac:dyDescent="0.35">
      <c r="A126" s="88">
        <v>45671</v>
      </c>
      <c r="B126" t="s">
        <v>327</v>
      </c>
      <c r="C126" t="s">
        <v>167</v>
      </c>
      <c r="D126" t="s">
        <v>100</v>
      </c>
      <c r="E126" t="s">
        <v>101</v>
      </c>
      <c r="F126" s="89">
        <v>42</v>
      </c>
    </row>
    <row r="127" spans="1:8" x14ac:dyDescent="0.35">
      <c r="A127" s="88">
        <v>45671</v>
      </c>
      <c r="B127" t="s">
        <v>328</v>
      </c>
      <c r="C127" t="s">
        <v>183</v>
      </c>
      <c r="D127" t="s">
        <v>171</v>
      </c>
      <c r="E127" t="s">
        <v>172</v>
      </c>
      <c r="F127" s="89">
        <v>5280.31</v>
      </c>
    </row>
    <row r="128" spans="1:8" x14ac:dyDescent="0.35">
      <c r="A128" s="88">
        <v>45671</v>
      </c>
      <c r="B128" t="s">
        <v>328</v>
      </c>
      <c r="C128" t="s">
        <v>183</v>
      </c>
      <c r="D128" t="s">
        <v>169</v>
      </c>
      <c r="E128" t="s">
        <v>170</v>
      </c>
      <c r="F128" s="89">
        <v>750</v>
      </c>
    </row>
    <row r="129" spans="1:7" x14ac:dyDescent="0.35">
      <c r="A129" s="88">
        <v>45671</v>
      </c>
      <c r="B129" t="s">
        <v>328</v>
      </c>
      <c r="C129" t="s">
        <v>183</v>
      </c>
      <c r="D129" t="s">
        <v>173</v>
      </c>
      <c r="E129" t="s">
        <v>174</v>
      </c>
      <c r="G129" s="89">
        <v>3662.43</v>
      </c>
    </row>
    <row r="130" spans="1:7" x14ac:dyDescent="0.35">
      <c r="A130" s="88">
        <v>45671</v>
      </c>
      <c r="B130" t="s">
        <v>328</v>
      </c>
      <c r="C130" t="s">
        <v>183</v>
      </c>
      <c r="D130" t="s">
        <v>155</v>
      </c>
      <c r="E130" t="s">
        <v>156</v>
      </c>
      <c r="G130" s="89">
        <v>2367.88</v>
      </c>
    </row>
    <row r="131" spans="1:7" x14ac:dyDescent="0.35">
      <c r="A131" s="88">
        <v>45671</v>
      </c>
      <c r="B131" t="s">
        <v>329</v>
      </c>
      <c r="C131" t="s">
        <v>199</v>
      </c>
      <c r="D131" t="s">
        <v>200</v>
      </c>
      <c r="E131" t="s">
        <v>201</v>
      </c>
      <c r="G131" s="89">
        <v>57964.82</v>
      </c>
    </row>
    <row r="132" spans="1:7" x14ac:dyDescent="0.35">
      <c r="A132" s="88">
        <v>45671</v>
      </c>
      <c r="B132" t="s">
        <v>329</v>
      </c>
      <c r="C132" t="s">
        <v>199</v>
      </c>
      <c r="D132" t="s">
        <v>202</v>
      </c>
      <c r="E132" t="s">
        <v>203</v>
      </c>
      <c r="G132" s="89">
        <v>4717.66</v>
      </c>
    </row>
    <row r="133" spans="1:7" x14ac:dyDescent="0.35">
      <c r="A133" s="88">
        <v>45671</v>
      </c>
      <c r="B133" t="s">
        <v>329</v>
      </c>
      <c r="C133" t="s">
        <v>199</v>
      </c>
      <c r="D133" t="s">
        <v>109</v>
      </c>
      <c r="E133" t="s">
        <v>110</v>
      </c>
      <c r="G133" s="89">
        <v>4712.62</v>
      </c>
    </row>
    <row r="134" spans="1:7" x14ac:dyDescent="0.35">
      <c r="A134" s="88">
        <v>45671</v>
      </c>
      <c r="B134" t="s">
        <v>329</v>
      </c>
      <c r="C134" t="s">
        <v>199</v>
      </c>
      <c r="D134" t="s">
        <v>204</v>
      </c>
      <c r="E134" t="s">
        <v>205</v>
      </c>
      <c r="G134" s="89">
        <v>1347.9</v>
      </c>
    </row>
    <row r="135" spans="1:7" x14ac:dyDescent="0.35">
      <c r="A135" s="88">
        <v>45671</v>
      </c>
      <c r="B135" t="s">
        <v>329</v>
      </c>
      <c r="C135" t="s">
        <v>199</v>
      </c>
      <c r="D135" t="s">
        <v>206</v>
      </c>
      <c r="E135" t="s">
        <v>207</v>
      </c>
      <c r="F135" s="89">
        <v>1347.9</v>
      </c>
    </row>
    <row r="136" spans="1:7" x14ac:dyDescent="0.35">
      <c r="A136" s="88">
        <v>45671</v>
      </c>
      <c r="B136" t="s">
        <v>329</v>
      </c>
      <c r="C136" t="s">
        <v>199</v>
      </c>
      <c r="D136" t="s">
        <v>208</v>
      </c>
      <c r="E136" t="s">
        <v>209</v>
      </c>
      <c r="G136" s="89">
        <v>14489.95</v>
      </c>
    </row>
    <row r="137" spans="1:7" x14ac:dyDescent="0.35">
      <c r="A137" s="88">
        <v>45671</v>
      </c>
      <c r="B137" t="s">
        <v>329</v>
      </c>
      <c r="C137" t="s">
        <v>199</v>
      </c>
      <c r="D137" t="s">
        <v>210</v>
      </c>
      <c r="E137" t="s">
        <v>211</v>
      </c>
      <c r="F137" s="89">
        <v>14489.95</v>
      </c>
    </row>
    <row r="138" spans="1:7" x14ac:dyDescent="0.35">
      <c r="A138" s="88">
        <v>45671</v>
      </c>
      <c r="B138" t="s">
        <v>329</v>
      </c>
      <c r="C138" t="s">
        <v>199</v>
      </c>
      <c r="D138" t="s">
        <v>212</v>
      </c>
      <c r="E138" t="s">
        <v>201</v>
      </c>
      <c r="F138" s="89">
        <v>67395.100000000006</v>
      </c>
    </row>
    <row r="139" spans="1:7" x14ac:dyDescent="0.35">
      <c r="A139" s="88">
        <v>45671</v>
      </c>
      <c r="B139" t="s">
        <v>330</v>
      </c>
      <c r="C139" t="s">
        <v>220</v>
      </c>
      <c r="D139" t="s">
        <v>74</v>
      </c>
      <c r="E139" t="s">
        <v>75</v>
      </c>
      <c r="G139" s="89">
        <v>34372.322999999997</v>
      </c>
    </row>
    <row r="140" spans="1:7" x14ac:dyDescent="0.35">
      <c r="A140" s="88">
        <v>45671</v>
      </c>
      <c r="B140" t="s">
        <v>330</v>
      </c>
      <c r="C140" t="s">
        <v>220</v>
      </c>
      <c r="D140" t="s">
        <v>115</v>
      </c>
      <c r="E140" t="s">
        <v>116</v>
      </c>
      <c r="F140" s="89">
        <v>33749.658692999998</v>
      </c>
    </row>
    <row r="141" spans="1:7" x14ac:dyDescent="0.35">
      <c r="A141" s="88">
        <v>45671</v>
      </c>
      <c r="B141" t="s">
        <v>330</v>
      </c>
      <c r="C141" t="s">
        <v>220</v>
      </c>
      <c r="D141" t="s">
        <v>189</v>
      </c>
      <c r="E141" t="s">
        <v>122</v>
      </c>
      <c r="F141" s="89">
        <v>622.6643069999991</v>
      </c>
    </row>
    <row r="142" spans="1:7" x14ac:dyDescent="0.35">
      <c r="A142" s="88">
        <v>45671</v>
      </c>
      <c r="B142" t="s">
        <v>331</v>
      </c>
      <c r="C142" t="s">
        <v>225</v>
      </c>
      <c r="D142" t="s">
        <v>119</v>
      </c>
      <c r="E142" t="s">
        <v>117</v>
      </c>
      <c r="G142" s="89">
        <v>41030</v>
      </c>
    </row>
    <row r="143" spans="1:7" x14ac:dyDescent="0.35">
      <c r="A143" s="88">
        <v>45671</v>
      </c>
      <c r="B143" t="s">
        <v>331</v>
      </c>
      <c r="C143" t="s">
        <v>225</v>
      </c>
      <c r="D143" t="s">
        <v>115</v>
      </c>
      <c r="E143" t="s">
        <v>116</v>
      </c>
      <c r="F143" s="89">
        <v>40286.729999999996</v>
      </c>
    </row>
    <row r="144" spans="1:7" x14ac:dyDescent="0.35">
      <c r="A144" s="88">
        <v>45671</v>
      </c>
      <c r="B144" t="s">
        <v>331</v>
      </c>
      <c r="C144" t="s">
        <v>225</v>
      </c>
      <c r="D144" t="s">
        <v>189</v>
      </c>
      <c r="E144" t="s">
        <v>122</v>
      </c>
      <c r="F144" s="89">
        <v>743.27000000000407</v>
      </c>
    </row>
    <row r="145" spans="1:7" x14ac:dyDescent="0.35">
      <c r="A145" s="88">
        <v>45686</v>
      </c>
      <c r="B145" t="s">
        <v>332</v>
      </c>
      <c r="C145" t="s">
        <v>257</v>
      </c>
      <c r="D145" t="s">
        <v>200</v>
      </c>
      <c r="E145" t="s">
        <v>201</v>
      </c>
      <c r="G145" s="89">
        <v>60618.23</v>
      </c>
    </row>
    <row r="146" spans="1:7" x14ac:dyDescent="0.35">
      <c r="A146" s="88">
        <v>45686</v>
      </c>
      <c r="B146" t="s">
        <v>332</v>
      </c>
      <c r="C146" t="s">
        <v>257</v>
      </c>
      <c r="D146" t="s">
        <v>202</v>
      </c>
      <c r="E146" t="s">
        <v>203</v>
      </c>
      <c r="G146" s="89">
        <v>4961.0200000000004</v>
      </c>
    </row>
    <row r="147" spans="1:7" x14ac:dyDescent="0.35">
      <c r="A147" s="88">
        <v>45686</v>
      </c>
      <c r="B147" t="s">
        <v>332</v>
      </c>
      <c r="C147" t="s">
        <v>257</v>
      </c>
      <c r="D147" t="s">
        <v>109</v>
      </c>
      <c r="E147" t="s">
        <v>110</v>
      </c>
      <c r="G147" s="89">
        <v>5292.51</v>
      </c>
    </row>
    <row r="148" spans="1:7" x14ac:dyDescent="0.35">
      <c r="A148" s="88">
        <v>45686</v>
      </c>
      <c r="B148" t="s">
        <v>332</v>
      </c>
      <c r="C148" t="s">
        <v>257</v>
      </c>
      <c r="D148" t="s">
        <v>204</v>
      </c>
      <c r="E148" t="s">
        <v>205</v>
      </c>
      <c r="G148" s="89">
        <v>1417.44</v>
      </c>
    </row>
    <row r="149" spans="1:7" x14ac:dyDescent="0.35">
      <c r="A149" s="88">
        <v>45686</v>
      </c>
      <c r="B149" t="s">
        <v>332</v>
      </c>
      <c r="C149" t="s">
        <v>257</v>
      </c>
      <c r="D149" t="s">
        <v>206</v>
      </c>
      <c r="E149" t="s">
        <v>207</v>
      </c>
      <c r="F149" s="89">
        <v>1417.44</v>
      </c>
    </row>
    <row r="150" spans="1:7" x14ac:dyDescent="0.35">
      <c r="A150" s="88">
        <v>45686</v>
      </c>
      <c r="B150" t="s">
        <v>332</v>
      </c>
      <c r="C150" t="s">
        <v>257</v>
      </c>
      <c r="D150" t="s">
        <v>208</v>
      </c>
      <c r="E150" t="s">
        <v>209</v>
      </c>
      <c r="G150" s="89">
        <v>15237.43</v>
      </c>
    </row>
    <row r="151" spans="1:7" x14ac:dyDescent="0.35">
      <c r="A151" s="88">
        <v>45686</v>
      </c>
      <c r="B151" t="s">
        <v>332</v>
      </c>
      <c r="C151" t="s">
        <v>257</v>
      </c>
      <c r="D151" t="s">
        <v>210</v>
      </c>
      <c r="E151" t="s">
        <v>211</v>
      </c>
      <c r="F151" s="89">
        <v>15237.43</v>
      </c>
    </row>
    <row r="152" spans="1:7" x14ac:dyDescent="0.35">
      <c r="A152" s="88">
        <v>45686</v>
      </c>
      <c r="B152" t="s">
        <v>332</v>
      </c>
      <c r="C152" t="s">
        <v>257</v>
      </c>
      <c r="D152" t="s">
        <v>212</v>
      </c>
      <c r="E152" t="s">
        <v>201</v>
      </c>
      <c r="F152" s="89">
        <v>70871.759999999995</v>
      </c>
    </row>
    <row r="153" spans="1:7" x14ac:dyDescent="0.35">
      <c r="A153" s="88">
        <v>45686</v>
      </c>
      <c r="B153" t="s">
        <v>339</v>
      </c>
      <c r="C153" t="s">
        <v>336</v>
      </c>
      <c r="D153" t="s">
        <v>334</v>
      </c>
      <c r="E153" t="s">
        <v>335</v>
      </c>
      <c r="G153" s="89">
        <v>217.91</v>
      </c>
    </row>
    <row r="154" spans="1:7" x14ac:dyDescent="0.35">
      <c r="A154" s="88">
        <v>45686</v>
      </c>
      <c r="B154" t="s">
        <v>339</v>
      </c>
      <c r="C154" t="s">
        <v>336</v>
      </c>
      <c r="D154" t="s">
        <v>337</v>
      </c>
      <c r="E154" t="s">
        <v>338</v>
      </c>
      <c r="F154" s="89">
        <v>217.91</v>
      </c>
    </row>
    <row r="155" spans="1:7" x14ac:dyDescent="0.35">
      <c r="A155" s="88"/>
    </row>
    <row r="156" spans="1:7" x14ac:dyDescent="0.35">
      <c r="A156" s="88"/>
    </row>
    <row r="157" spans="1:7" x14ac:dyDescent="0.35">
      <c r="A157" s="88"/>
    </row>
    <row r="158" spans="1:7" x14ac:dyDescent="0.35">
      <c r="A158" s="88"/>
    </row>
    <row r="159" spans="1:7" x14ac:dyDescent="0.35">
      <c r="F159" s="90">
        <f>SUM(F2:F158)</f>
        <v>1039054.9012050002</v>
      </c>
      <c r="G159" s="90">
        <f>SUM(G2:G158)</f>
        <v>1039054.901405</v>
      </c>
    </row>
    <row r="160" spans="1:7" x14ac:dyDescent="0.35">
      <c r="F160" s="90"/>
      <c r="G160" s="90">
        <f>+F159-G159</f>
        <v>-1.9999977666884661E-4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50</vt:i4>
      </vt:variant>
      <vt:variant>
        <vt:lpstr>Rangos con nombre</vt:lpstr>
      </vt:variant>
      <vt:variant>
        <vt:i4>49</vt:i4>
      </vt:variant>
    </vt:vector>
  </HeadingPairs>
  <TitlesOfParts>
    <vt:vector size="99" baseType="lpstr">
      <vt:lpstr>380160100</vt:lpstr>
      <vt:lpstr>393392890</vt:lpstr>
      <vt:lpstr>396845300</vt:lpstr>
      <vt:lpstr>398981183</vt:lpstr>
      <vt:lpstr>406538826</vt:lpstr>
      <vt:lpstr>369373302</vt:lpstr>
      <vt:lpstr>371450988</vt:lpstr>
      <vt:lpstr>371480548</vt:lpstr>
      <vt:lpstr>371484651</vt:lpstr>
      <vt:lpstr>374479114</vt:lpstr>
      <vt:lpstr>374479207</vt:lpstr>
      <vt:lpstr>374479311</vt:lpstr>
      <vt:lpstr>377505670</vt:lpstr>
      <vt:lpstr>379260931</vt:lpstr>
      <vt:lpstr>380966161</vt:lpstr>
      <vt:lpstr>384845796</vt:lpstr>
      <vt:lpstr>384856368</vt:lpstr>
      <vt:lpstr>384866882</vt:lpstr>
      <vt:lpstr>385295801</vt:lpstr>
      <vt:lpstr>385295937</vt:lpstr>
      <vt:lpstr>385296047</vt:lpstr>
      <vt:lpstr>385305789</vt:lpstr>
      <vt:lpstr>385328612</vt:lpstr>
      <vt:lpstr>385371421</vt:lpstr>
      <vt:lpstr>385403673</vt:lpstr>
      <vt:lpstr>387650322</vt:lpstr>
      <vt:lpstr>387656113</vt:lpstr>
      <vt:lpstr>387656465</vt:lpstr>
      <vt:lpstr>387656631</vt:lpstr>
      <vt:lpstr>387656788</vt:lpstr>
      <vt:lpstr>387658763</vt:lpstr>
      <vt:lpstr>388738036</vt:lpstr>
      <vt:lpstr>388738104</vt:lpstr>
      <vt:lpstr>388745453</vt:lpstr>
      <vt:lpstr>405593823_405760077</vt:lpstr>
      <vt:lpstr>406695777</vt:lpstr>
      <vt:lpstr>406704413</vt:lpstr>
      <vt:lpstr>406718046</vt:lpstr>
      <vt:lpstr>406728342</vt:lpstr>
      <vt:lpstr>406760039</vt:lpstr>
      <vt:lpstr>410737135</vt:lpstr>
      <vt:lpstr>Diario-1-030125</vt:lpstr>
      <vt:lpstr>Diario-2-140125</vt:lpstr>
      <vt:lpstr>Diario-3-140125</vt:lpstr>
      <vt:lpstr>Diario-4-140125</vt:lpstr>
      <vt:lpstr>Diario-5-140125</vt:lpstr>
      <vt:lpstr>Diario-6-140125</vt:lpstr>
      <vt:lpstr>Diario-7-290125</vt:lpstr>
      <vt:lpstr>Diario-8-290125</vt:lpstr>
      <vt:lpstr>contabilizacion enero 2025</vt:lpstr>
      <vt:lpstr>'369373302'!Área_de_impresión</vt:lpstr>
      <vt:lpstr>'371450988'!Área_de_impresión</vt:lpstr>
      <vt:lpstr>'371480548'!Área_de_impresión</vt:lpstr>
      <vt:lpstr>'371484651'!Área_de_impresión</vt:lpstr>
      <vt:lpstr>'374479114'!Área_de_impresión</vt:lpstr>
      <vt:lpstr>'374479207'!Área_de_impresión</vt:lpstr>
      <vt:lpstr>'374479311'!Área_de_impresión</vt:lpstr>
      <vt:lpstr>'377505670'!Área_de_impresión</vt:lpstr>
      <vt:lpstr>'379260931'!Área_de_impresión</vt:lpstr>
      <vt:lpstr>'380160100'!Área_de_impresión</vt:lpstr>
      <vt:lpstr>'380966161'!Área_de_impresión</vt:lpstr>
      <vt:lpstr>'384845796'!Área_de_impresión</vt:lpstr>
      <vt:lpstr>'384856368'!Área_de_impresión</vt:lpstr>
      <vt:lpstr>'384866882'!Área_de_impresión</vt:lpstr>
      <vt:lpstr>'385295801'!Área_de_impresión</vt:lpstr>
      <vt:lpstr>'385295937'!Área_de_impresión</vt:lpstr>
      <vt:lpstr>'385296047'!Área_de_impresión</vt:lpstr>
      <vt:lpstr>'385305789'!Área_de_impresión</vt:lpstr>
      <vt:lpstr>'385328612'!Área_de_impresión</vt:lpstr>
      <vt:lpstr>'385371421'!Área_de_impresión</vt:lpstr>
      <vt:lpstr>'385403673'!Área_de_impresión</vt:lpstr>
      <vt:lpstr>'387650322'!Área_de_impresión</vt:lpstr>
      <vt:lpstr>'387656113'!Área_de_impresión</vt:lpstr>
      <vt:lpstr>'387656465'!Área_de_impresión</vt:lpstr>
      <vt:lpstr>'387656631'!Área_de_impresión</vt:lpstr>
      <vt:lpstr>'387656788'!Área_de_impresión</vt:lpstr>
      <vt:lpstr>'387658763'!Área_de_impresión</vt:lpstr>
      <vt:lpstr>'388738036'!Área_de_impresión</vt:lpstr>
      <vt:lpstr>'388738104'!Área_de_impresión</vt:lpstr>
      <vt:lpstr>'388745453'!Área_de_impresión</vt:lpstr>
      <vt:lpstr>'393392890'!Área_de_impresión</vt:lpstr>
      <vt:lpstr>'396845300'!Área_de_impresión</vt:lpstr>
      <vt:lpstr>'398981183'!Área_de_impresión</vt:lpstr>
      <vt:lpstr>'405593823_405760077'!Área_de_impresión</vt:lpstr>
      <vt:lpstr>'406538826'!Área_de_impresión</vt:lpstr>
      <vt:lpstr>'406695777'!Área_de_impresión</vt:lpstr>
      <vt:lpstr>'406704413'!Área_de_impresión</vt:lpstr>
      <vt:lpstr>'406718046'!Área_de_impresión</vt:lpstr>
      <vt:lpstr>'406728342'!Área_de_impresión</vt:lpstr>
      <vt:lpstr>'406760039'!Área_de_impresión</vt:lpstr>
      <vt:lpstr>'410737135'!Área_de_impresión</vt:lpstr>
      <vt:lpstr>'Diario-1-030125'!Área_de_impresión</vt:lpstr>
      <vt:lpstr>'Diario-2-140125'!Área_de_impresión</vt:lpstr>
      <vt:lpstr>'Diario-3-140125'!Área_de_impresión</vt:lpstr>
      <vt:lpstr>'Diario-4-140125'!Área_de_impresión</vt:lpstr>
      <vt:lpstr>'Diario-5-140125'!Área_de_impresión</vt:lpstr>
      <vt:lpstr>'Diario-6-140125'!Área_de_impresión</vt:lpstr>
      <vt:lpstr>'Diario-7-290125'!Área_de_impresión</vt:lpstr>
      <vt:lpstr>'Diario-8-290125'!Área_de_impresión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2025-03-27T23:52:54Z</dcterms:modified>
</cp:coreProperties>
</file>